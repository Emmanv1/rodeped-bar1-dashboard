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pEd Laptop\Downloads\Emmanuel Saga Files 2026\4. Budget Accountability Report (BAR) 1\Quarter 1\"/>
    </mc:Choice>
  </mc:AlternateContent>
  <xr:revisionPtr revIDLastSave="0" documentId="13_ncr:1_{933DBDDF-DA96-4711-B19C-2971F09AF829}" xr6:coauthVersionLast="47" xr6:coauthVersionMax="47" xr10:uidLastSave="{00000000-0000-0000-0000-000000000000}"/>
  <bookViews>
    <workbookView xWindow="-110" yWindow="-110" windowWidth="19420" windowHeight="10300" tabRatio="878" xr2:uid="{F6315E22-793F-480B-9C40-0C724051A23D}"/>
  </bookViews>
  <sheets>
    <sheet name="BAR 1 RO" sheetId="2" r:id="rId1"/>
    <sheet name="Table 1.2" sheetId="25" state="hidden" r:id="rId2"/>
    <sheet name="Table 1.3" sheetId="26" state="hidden" r:id="rId3"/>
    <sheet name="Table 1.4" sheetId="27" state="hidden" r:id="rId4"/>
    <sheet name="Table 1.5" sheetId="29" state="hidden" r:id="rId5"/>
    <sheet name="Table 1.6" sheetId="28" state="hidden" r:id="rId6"/>
    <sheet name="Table 2.1a" sheetId="30" state="hidden" r:id="rId7"/>
    <sheet name="Table 2.1aa" sheetId="31" state="hidden" r:id="rId8"/>
    <sheet name="Table 2.1b" sheetId="32" state="hidden" r:id="rId9"/>
    <sheet name="Table 2.1c" sheetId="33" state="hidden" r:id="rId10"/>
    <sheet name="Table 2.2a" sheetId="34" state="hidden" r:id="rId11"/>
    <sheet name="Table 2.2b" sheetId="35" state="hidden" r:id="rId12"/>
    <sheet name="Table 2.2c" sheetId="36" state="hidden" r:id="rId13"/>
    <sheet name="Table 2.2d" sheetId="37" state="hidden" r:id="rId14"/>
    <sheet name="Table 2.2e" sheetId="38" state="hidden" r:id="rId15"/>
    <sheet name="Table 2.2f" sheetId="39" state="hidden" r:id="rId16"/>
    <sheet name="Table 2.3a" sheetId="40" state="hidden" r:id="rId17"/>
    <sheet name="Table 2.3b" sheetId="41" state="hidden" r:id="rId18"/>
    <sheet name="Table 2.3c" sheetId="42" state="hidden" r:id="rId19"/>
    <sheet name="Table 2.4a" sheetId="43" state="hidden" r:id="rId20"/>
    <sheet name="Table 2.4b" sheetId="44" state="hidden" r:id="rId21"/>
    <sheet name="Table 2.4c" sheetId="45" state="hidden" r:id="rId22"/>
    <sheet name="Table 2.5a" sheetId="46" state="hidden" r:id="rId23"/>
    <sheet name="Table 2.5b" sheetId="47" state="hidden" r:id="rId24"/>
    <sheet name="Table 2.5c" sheetId="48" state="hidden" r:id="rId25"/>
    <sheet name="Table 2.6" sheetId="49" state="hidden" r:id="rId26"/>
    <sheet name="BAR 1 SDO" sheetId="5" state="hidden" r:id="rId27"/>
    <sheet name="Table 3.1a" sheetId="71" state="hidden" r:id="rId28"/>
    <sheet name="Table 3.1b" sheetId="72" state="hidden" r:id="rId29"/>
    <sheet name="Table 3.1c" sheetId="73" state="hidden" r:id="rId30"/>
    <sheet name="Table 3.1d" sheetId="74" state="hidden" r:id="rId31"/>
    <sheet name="Table 3.2" sheetId="75" state="hidden" r:id="rId32"/>
    <sheet name="Table 3.3a" sheetId="76" state="hidden" r:id="rId33"/>
    <sheet name="Table 3.3b" sheetId="77" state="hidden" r:id="rId34"/>
    <sheet name="Table 3.3c" sheetId="78" state="hidden" r:id="rId35"/>
    <sheet name="Table 3.4" sheetId="79" state="hidden" r:id="rId36"/>
    <sheet name="Table 3.5" sheetId="80" state="hidden" r:id="rId37"/>
    <sheet name="Table 4.1a" sheetId="59" state="hidden" r:id="rId38"/>
    <sheet name="Table 4.1b" sheetId="60" state="hidden" r:id="rId39"/>
    <sheet name="Table 4.2a" sheetId="61" state="hidden" r:id="rId40"/>
    <sheet name="Table 4.2b" sheetId="62" state="hidden" r:id="rId41"/>
    <sheet name="Table 4.3a" sheetId="63" state="hidden" r:id="rId42"/>
    <sheet name="Table 4.3b" sheetId="64" state="hidden" r:id="rId43"/>
    <sheet name="Table 4.3c" sheetId="65" state="hidden" r:id="rId44"/>
    <sheet name="Table 4.4a" sheetId="66" state="hidden" r:id="rId45"/>
    <sheet name="Table 4.4b" sheetId="67" state="hidden" r:id="rId46"/>
    <sheet name="Table 4.5a" sheetId="68" state="hidden" r:id="rId47"/>
    <sheet name="Table 4.5b" sheetId="69" state="hidden" r:id="rId48"/>
    <sheet name="Table 4.5c" sheetId="70" state="hidden" r:id="rId49"/>
    <sheet name="Table 5.1" sheetId="50" state="hidden" r:id="rId50"/>
    <sheet name="Table 5.1.1" sheetId="51" state="hidden" r:id="rId51"/>
    <sheet name="Table 5.1.2" sheetId="52" state="hidden" r:id="rId52"/>
    <sheet name="Table 5.1.2a" sheetId="53" state="hidden" r:id="rId53"/>
    <sheet name="Table 5.1.2b" sheetId="54" state="hidden" r:id="rId54"/>
    <sheet name="Table 5.1.2c" sheetId="55" state="hidden" r:id="rId55"/>
    <sheet name="Table 5.2" sheetId="81" state="hidden" r:id="rId56"/>
    <sheet name="Table 5.2a" sheetId="56" state="hidden" r:id="rId57"/>
    <sheet name="Table 5.2b" sheetId="57" state="hidden" r:id="rId58"/>
    <sheet name="Table 5.2c" sheetId="58" state="hidden" r:id="rId59"/>
    <sheet name="ADN" sheetId="12" state="hidden" r:id="rId60"/>
    <sheet name="ADS" sheetId="13" state="hidden" r:id="rId61"/>
    <sheet name="BAY" sheetId="14" state="hidden" r:id="rId62"/>
    <sheet name="BIS" sheetId="15" state="hidden" r:id="rId63"/>
    <sheet name="BUT" sheetId="16" state="hidden" r:id="rId64"/>
    <sheet name="CBR" sheetId="17" state="hidden" r:id="rId65"/>
    <sheet name="DIN" sheetId="18" state="hidden" r:id="rId66"/>
    <sheet name="SIA" sheetId="19" state="hidden" r:id="rId67"/>
    <sheet name="SC" sheetId="20" state="hidden" r:id="rId68"/>
    <sheet name="SDN" sheetId="21" state="hidden" r:id="rId69"/>
    <sheet name="SDS" sheetId="22" state="hidden" r:id="rId70"/>
    <sheet name="Educ Policy Devt Program" sheetId="7" state="hidden" r:id="rId71"/>
    <sheet name="Basic Ed Inputs Program" sheetId="8" state="hidden" r:id="rId72"/>
    <sheet name="Inclusive Educ Program" sheetId="9" state="hidden" r:id="rId73"/>
    <sheet name="Supp to Schools and Learners" sheetId="10" state="hidden" r:id="rId74"/>
    <sheet name="Educ Human Res Devt" sheetId="11" state="hidden" r:id="rId75"/>
  </sheets>
  <definedNames>
    <definedName name="_xlnm.Print_Area" localSheetId="0">'BAR 1 RO'!$A$1:$P$133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7" i="2" l="1"/>
  <c r="I49" i="2"/>
  <c r="I88" i="2" l="1"/>
  <c r="N66" i="2"/>
  <c r="O66" i="2" s="1"/>
  <c r="N45" i="2"/>
  <c r="N41" i="2"/>
  <c r="N37" i="2" l="1"/>
  <c r="N35" i="2"/>
  <c r="N32" i="2"/>
  <c r="N125" i="2"/>
  <c r="O125" i="2" s="1"/>
  <c r="N126" i="2"/>
  <c r="O126" i="2" s="1"/>
  <c r="N124" i="2"/>
  <c r="O124" i="2" s="1"/>
  <c r="I124" i="2"/>
  <c r="I125" i="2"/>
  <c r="I126" i="2"/>
  <c r="I117" i="2"/>
  <c r="B15" i="44"/>
  <c r="B14" i="44"/>
  <c r="B13" i="44"/>
  <c r="B12" i="44"/>
  <c r="B11" i="44"/>
  <c r="B10" i="44"/>
  <c r="B9" i="44"/>
  <c r="B8" i="44"/>
  <c r="B7" i="44"/>
  <c r="B6" i="44"/>
  <c r="B5" i="44"/>
  <c r="B4" i="44"/>
  <c r="B15" i="43"/>
  <c r="B14" i="43"/>
  <c r="B13" i="43"/>
  <c r="B12" i="43"/>
  <c r="B11" i="43"/>
  <c r="B10" i="43"/>
  <c r="B9" i="43"/>
  <c r="B8" i="43"/>
  <c r="B7" i="43"/>
  <c r="B6" i="43"/>
  <c r="B5" i="43"/>
  <c r="B4" i="43"/>
  <c r="N121" i="2"/>
  <c r="N116" i="2"/>
  <c r="N112" i="2"/>
  <c r="N111" i="2"/>
  <c r="N110" i="2"/>
  <c r="N107" i="2"/>
  <c r="N106" i="2"/>
  <c r="N105" i="2"/>
  <c r="N98" i="2"/>
  <c r="N97" i="2"/>
  <c r="N95" i="2"/>
  <c r="N94" i="2"/>
  <c r="N89" i="2"/>
  <c r="N88" i="2"/>
  <c r="N87" i="2"/>
  <c r="N86" i="2"/>
  <c r="N85" i="2"/>
  <c r="N81" i="2"/>
  <c r="N80" i="2"/>
  <c r="N79" i="2"/>
  <c r="N78" i="2"/>
  <c r="N77" i="2"/>
  <c r="N76" i="2"/>
  <c r="N75" i="2"/>
  <c r="N74" i="2"/>
  <c r="N73" i="2"/>
  <c r="N68" i="2"/>
  <c r="N61" i="2"/>
  <c r="O61" i="2" s="1"/>
  <c r="N53" i="2"/>
  <c r="N51" i="2"/>
  <c r="N49" i="2"/>
  <c r="N27" i="2"/>
  <c r="N26" i="2"/>
  <c r="N25" i="2"/>
  <c r="O25" i="2" s="1"/>
  <c r="N22" i="2"/>
  <c r="N20" i="2"/>
  <c r="I120" i="2"/>
  <c r="I121" i="2"/>
  <c r="I119" i="2"/>
  <c r="I118" i="2"/>
  <c r="I116" i="2"/>
  <c r="I111" i="2"/>
  <c r="I112" i="2"/>
  <c r="I110" i="2"/>
  <c r="I106" i="2"/>
  <c r="I107" i="2"/>
  <c r="I105" i="2"/>
  <c r="I101" i="2"/>
  <c r="I102" i="2"/>
  <c r="I100" i="2"/>
  <c r="I98" i="2"/>
  <c r="I97" i="2"/>
  <c r="I95" i="2"/>
  <c r="I94" i="2"/>
  <c r="I89" i="2"/>
  <c r="I81" i="2"/>
  <c r="I80" i="2"/>
  <c r="I79" i="2"/>
  <c r="I78" i="2"/>
  <c r="I77" i="2"/>
  <c r="I76" i="2"/>
  <c r="I75" i="2"/>
  <c r="I74" i="2"/>
  <c r="I73" i="2"/>
  <c r="I53" i="2"/>
  <c r="I51" i="2"/>
  <c r="I45" i="2"/>
  <c r="I41" i="2"/>
  <c r="I37" i="2"/>
  <c r="I35" i="2"/>
  <c r="I32" i="2"/>
  <c r="I33" i="2"/>
  <c r="I20" i="2"/>
  <c r="I22" i="2"/>
  <c r="J131" i="18"/>
  <c r="J125" i="18"/>
  <c r="O105" i="2" l="1"/>
  <c r="O20" i="2"/>
  <c r="O80" i="2"/>
  <c r="O110" i="2"/>
  <c r="O79" i="2"/>
  <c r="O111" i="2"/>
  <c r="O107" i="2"/>
  <c r="O74" i="2"/>
  <c r="O32" i="2"/>
  <c r="O76" i="2"/>
  <c r="O106" i="2"/>
  <c r="O94" i="2"/>
  <c r="O37" i="2"/>
  <c r="O112" i="2"/>
  <c r="O78" i="2"/>
  <c r="O73" i="2"/>
  <c r="O81" i="2"/>
  <c r="O75" i="2"/>
  <c r="O41" i="2"/>
  <c r="O95" i="2"/>
  <c r="O51" i="2"/>
  <c r="O53" i="2"/>
  <c r="O121" i="2"/>
  <c r="O22" i="2"/>
  <c r="O45" i="2"/>
  <c r="O97" i="2"/>
  <c r="O49" i="2"/>
  <c r="O98" i="2"/>
  <c r="O77" i="2"/>
  <c r="O35" i="2"/>
  <c r="O89" i="2"/>
  <c r="O116" i="2"/>
  <c r="B16" i="44"/>
  <c r="B16" i="43"/>
  <c r="J131" i="16"/>
  <c r="J125" i="16"/>
  <c r="J125" i="14"/>
  <c r="N125" i="14" s="1"/>
  <c r="O125" i="14" s="1"/>
  <c r="J131" i="14"/>
  <c r="B6" i="81" s="1"/>
  <c r="I113" i="14"/>
  <c r="I114" i="14"/>
  <c r="B15" i="81"/>
  <c r="B14" i="81"/>
  <c r="B13" i="81"/>
  <c r="B12" i="81"/>
  <c r="B11" i="81"/>
  <c r="B10" i="81"/>
  <c r="B9" i="81"/>
  <c r="B8" i="81"/>
  <c r="B5" i="81"/>
  <c r="B4" i="81"/>
  <c r="J131" i="15"/>
  <c r="B7" i="81" s="1"/>
  <c r="J131" i="17"/>
  <c r="J131" i="19"/>
  <c r="J131" i="20"/>
  <c r="J131" i="21"/>
  <c r="J131" i="13"/>
  <c r="J131" i="12"/>
  <c r="B15" i="65"/>
  <c r="B14" i="65"/>
  <c r="B13" i="65"/>
  <c r="B12" i="65"/>
  <c r="B11" i="65"/>
  <c r="B10" i="65"/>
  <c r="B9" i="65"/>
  <c r="B8" i="65"/>
  <c r="B7" i="65"/>
  <c r="B6" i="65"/>
  <c r="B5" i="65"/>
  <c r="B15" i="64"/>
  <c r="B14" i="64"/>
  <c r="B13" i="64"/>
  <c r="B12" i="64"/>
  <c r="B11" i="64"/>
  <c r="B10" i="64"/>
  <c r="B9" i="64"/>
  <c r="B8" i="64"/>
  <c r="B7" i="64"/>
  <c r="B6" i="64"/>
  <c r="B5" i="64"/>
  <c r="B15" i="63"/>
  <c r="B14" i="63"/>
  <c r="B13" i="63"/>
  <c r="B12" i="63"/>
  <c r="B11" i="63"/>
  <c r="B10" i="63"/>
  <c r="B9" i="63"/>
  <c r="B8" i="63"/>
  <c r="B7" i="63"/>
  <c r="B6" i="63"/>
  <c r="B5" i="63"/>
  <c r="B15" i="49"/>
  <c r="B14" i="49"/>
  <c r="B13" i="49"/>
  <c r="B12" i="49"/>
  <c r="B11" i="49"/>
  <c r="B10" i="49"/>
  <c r="B16" i="49" s="1"/>
  <c r="B9" i="49"/>
  <c r="B8" i="49"/>
  <c r="B7" i="49"/>
  <c r="B6" i="49"/>
  <c r="B5" i="49"/>
  <c r="B4" i="49"/>
  <c r="B15" i="48"/>
  <c r="B14" i="48"/>
  <c r="B13" i="48"/>
  <c r="B12" i="48"/>
  <c r="B11" i="48"/>
  <c r="B10" i="48"/>
  <c r="B9" i="48"/>
  <c r="B8" i="48"/>
  <c r="B7" i="48"/>
  <c r="B6" i="48"/>
  <c r="B5" i="48"/>
  <c r="B4" i="48"/>
  <c r="B15" i="47"/>
  <c r="B14" i="47"/>
  <c r="B13" i="47"/>
  <c r="B12" i="47"/>
  <c r="B11" i="47"/>
  <c r="B10" i="47"/>
  <c r="B9" i="47"/>
  <c r="B8" i="47"/>
  <c r="B7" i="47"/>
  <c r="B6" i="47"/>
  <c r="B5" i="47"/>
  <c r="B4" i="47"/>
  <c r="B15" i="46"/>
  <c r="B14" i="46"/>
  <c r="B13" i="46"/>
  <c r="B12" i="46"/>
  <c r="B11" i="46"/>
  <c r="B10" i="46"/>
  <c r="B9" i="46"/>
  <c r="B8" i="46"/>
  <c r="B7" i="46"/>
  <c r="B6" i="46"/>
  <c r="B5" i="46"/>
  <c r="B4" i="46"/>
  <c r="B16" i="80"/>
  <c r="B15" i="80"/>
  <c r="B14" i="80"/>
  <c r="B13" i="80"/>
  <c r="B12" i="80"/>
  <c r="B11" i="80"/>
  <c r="B10" i="80"/>
  <c r="B9" i="80"/>
  <c r="B8" i="80"/>
  <c r="B7" i="80"/>
  <c r="B6" i="80"/>
  <c r="B5" i="80"/>
  <c r="B4" i="80"/>
  <c r="B15" i="79"/>
  <c r="B16" i="79" s="1"/>
  <c r="B14" i="79"/>
  <c r="B13" i="79"/>
  <c r="B12" i="79"/>
  <c r="B11" i="79"/>
  <c r="B10" i="79"/>
  <c r="B9" i="79"/>
  <c r="B8" i="79"/>
  <c r="B7" i="79"/>
  <c r="B6" i="79"/>
  <c r="B5" i="79"/>
  <c r="B4" i="79"/>
  <c r="B15" i="78"/>
  <c r="B14" i="78"/>
  <c r="B13" i="78"/>
  <c r="B12" i="78"/>
  <c r="B11" i="78"/>
  <c r="B10" i="78"/>
  <c r="B9" i="78"/>
  <c r="B8" i="78"/>
  <c r="B7" i="78"/>
  <c r="B6" i="78"/>
  <c r="B5" i="78"/>
  <c r="B4" i="78"/>
  <c r="B16" i="78"/>
  <c r="B15" i="77"/>
  <c r="B14" i="77"/>
  <c r="B13" i="77"/>
  <c r="B12" i="77"/>
  <c r="B11" i="77"/>
  <c r="B10" i="77"/>
  <c r="B9" i="77"/>
  <c r="B8" i="77"/>
  <c r="B7" i="77"/>
  <c r="B16" i="77" s="1"/>
  <c r="B6" i="77"/>
  <c r="B5" i="77"/>
  <c r="B4" i="77"/>
  <c r="B16" i="76"/>
  <c r="B15" i="76"/>
  <c r="B14" i="76"/>
  <c r="B13" i="76"/>
  <c r="B12" i="76"/>
  <c r="B11" i="76"/>
  <c r="B10" i="76"/>
  <c r="B9" i="76"/>
  <c r="B8" i="76"/>
  <c r="B7" i="76"/>
  <c r="B6" i="76"/>
  <c r="B5" i="76"/>
  <c r="B4" i="76"/>
  <c r="B15" i="75"/>
  <c r="B14" i="75"/>
  <c r="B13" i="75"/>
  <c r="B12" i="75"/>
  <c r="B11" i="75"/>
  <c r="B10" i="75"/>
  <c r="B9" i="75"/>
  <c r="B8" i="75"/>
  <c r="B7" i="75"/>
  <c r="B6" i="75"/>
  <c r="B5" i="75"/>
  <c r="B4" i="75"/>
  <c r="C15" i="74"/>
  <c r="C14" i="74"/>
  <c r="C13" i="74"/>
  <c r="C12" i="74"/>
  <c r="C11" i="74"/>
  <c r="C10" i="74"/>
  <c r="C9" i="74"/>
  <c r="C8" i="74"/>
  <c r="C7" i="74"/>
  <c r="C6" i="74"/>
  <c r="C5" i="74"/>
  <c r="C4" i="74"/>
  <c r="B15" i="74"/>
  <c r="B16" i="74" s="1"/>
  <c r="B14" i="74"/>
  <c r="B13" i="74"/>
  <c r="B12" i="74"/>
  <c r="B11" i="74"/>
  <c r="B10" i="74"/>
  <c r="B9" i="74"/>
  <c r="B8" i="74"/>
  <c r="B7" i="74"/>
  <c r="B6" i="74"/>
  <c r="B5" i="74"/>
  <c r="B4" i="74"/>
  <c r="C16" i="74"/>
  <c r="C15" i="73"/>
  <c r="C14" i="73"/>
  <c r="C13" i="73"/>
  <c r="C12" i="73"/>
  <c r="C11" i="73"/>
  <c r="C10" i="73"/>
  <c r="C9" i="73"/>
  <c r="C8" i="73"/>
  <c r="C7" i="73"/>
  <c r="C6" i="73"/>
  <c r="C5" i="73"/>
  <c r="C4" i="73"/>
  <c r="B15" i="73"/>
  <c r="B14" i="73"/>
  <c r="B13" i="73"/>
  <c r="B12" i="73"/>
  <c r="B11" i="73"/>
  <c r="B10" i="73"/>
  <c r="B9" i="73"/>
  <c r="B8" i="73"/>
  <c r="B7" i="73"/>
  <c r="B6" i="73"/>
  <c r="B5" i="73"/>
  <c r="B4" i="73"/>
  <c r="C16" i="73"/>
  <c r="B16" i="73"/>
  <c r="C15" i="72"/>
  <c r="C14" i="72"/>
  <c r="C13" i="72"/>
  <c r="C12" i="72"/>
  <c r="C11" i="72"/>
  <c r="C10" i="72"/>
  <c r="C9" i="72"/>
  <c r="C8" i="72"/>
  <c r="C7" i="72"/>
  <c r="C6" i="72"/>
  <c r="C5" i="72"/>
  <c r="C4" i="72"/>
  <c r="B15" i="72"/>
  <c r="B16" i="72" s="1"/>
  <c r="B14" i="72"/>
  <c r="B13" i="72"/>
  <c r="B12" i="72"/>
  <c r="B11" i="72"/>
  <c r="B10" i="72"/>
  <c r="B9" i="72"/>
  <c r="B8" i="72"/>
  <c r="B7" i="72"/>
  <c r="B6" i="72"/>
  <c r="B5" i="72"/>
  <c r="B4" i="72"/>
  <c r="C16" i="72"/>
  <c r="C16" i="71"/>
  <c r="C15" i="71"/>
  <c r="C14" i="71"/>
  <c r="C13" i="71"/>
  <c r="C12" i="71"/>
  <c r="C11" i="71"/>
  <c r="C10" i="71"/>
  <c r="C9" i="71"/>
  <c r="C8" i="71"/>
  <c r="C7" i="71"/>
  <c r="C6" i="71"/>
  <c r="C5" i="71"/>
  <c r="B15" i="71"/>
  <c r="B16" i="71" s="1"/>
  <c r="B14" i="71"/>
  <c r="B13" i="71"/>
  <c r="B12" i="71"/>
  <c r="B11" i="71"/>
  <c r="B10" i="71"/>
  <c r="B9" i="71"/>
  <c r="B8" i="71"/>
  <c r="B7" i="71"/>
  <c r="B6" i="71"/>
  <c r="B5" i="71"/>
  <c r="C4" i="71"/>
  <c r="B4" i="71"/>
  <c r="B15" i="70"/>
  <c r="B14" i="70"/>
  <c r="B13" i="70"/>
  <c r="B12" i="70"/>
  <c r="B11" i="70"/>
  <c r="B10" i="70"/>
  <c r="B9" i="70"/>
  <c r="B8" i="70"/>
  <c r="B7" i="70"/>
  <c r="B6" i="70"/>
  <c r="B5" i="70"/>
  <c r="B4" i="70"/>
  <c r="B16" i="70"/>
  <c r="B15" i="69"/>
  <c r="B14" i="69"/>
  <c r="B13" i="69"/>
  <c r="B12" i="69"/>
  <c r="B11" i="69"/>
  <c r="B10" i="69"/>
  <c r="B9" i="69"/>
  <c r="B8" i="69"/>
  <c r="B7" i="69"/>
  <c r="B6" i="69"/>
  <c r="B5" i="69"/>
  <c r="B4" i="69"/>
  <c r="B15" i="68"/>
  <c r="B16" i="68" s="1"/>
  <c r="B14" i="68"/>
  <c r="B13" i="68"/>
  <c r="B12" i="68"/>
  <c r="B11" i="68"/>
  <c r="B10" i="68"/>
  <c r="B9" i="68"/>
  <c r="B8" i="68"/>
  <c r="B7" i="68"/>
  <c r="B6" i="68"/>
  <c r="B5" i="68"/>
  <c r="B4" i="68"/>
  <c r="B15" i="67"/>
  <c r="B14" i="67"/>
  <c r="B13" i="67"/>
  <c r="B12" i="67"/>
  <c r="B11" i="67"/>
  <c r="B10" i="67"/>
  <c r="B9" i="67"/>
  <c r="B8" i="67"/>
  <c r="B7" i="67"/>
  <c r="B6" i="67"/>
  <c r="B5" i="67"/>
  <c r="B4" i="67"/>
  <c r="B16" i="67"/>
  <c r="B15" i="66"/>
  <c r="B16" i="66" s="1"/>
  <c r="B14" i="66"/>
  <c r="B13" i="66"/>
  <c r="B12" i="66"/>
  <c r="B11" i="66"/>
  <c r="B10" i="66"/>
  <c r="B9" i="66"/>
  <c r="B8" i="66"/>
  <c r="B7" i="66"/>
  <c r="B6" i="66"/>
  <c r="B5" i="66"/>
  <c r="B4" i="66"/>
  <c r="B4" i="65"/>
  <c r="B4" i="64"/>
  <c r="B4" i="63"/>
  <c r="B15" i="62"/>
  <c r="B16" i="62" s="1"/>
  <c r="B14" i="62"/>
  <c r="B13" i="62"/>
  <c r="B12" i="62"/>
  <c r="B11" i="62"/>
  <c r="B10" i="62"/>
  <c r="B9" i="62"/>
  <c r="B8" i="62"/>
  <c r="B7" i="62"/>
  <c r="B6" i="62"/>
  <c r="B5" i="62"/>
  <c r="B4" i="62"/>
  <c r="B15" i="61"/>
  <c r="B14" i="61"/>
  <c r="B13" i="61"/>
  <c r="B12" i="61"/>
  <c r="B11" i="61"/>
  <c r="B10" i="61"/>
  <c r="B9" i="61"/>
  <c r="B8" i="61"/>
  <c r="B7" i="61"/>
  <c r="B6" i="61"/>
  <c r="B5" i="61"/>
  <c r="B4" i="61"/>
  <c r="B15" i="60"/>
  <c r="B16" i="60" s="1"/>
  <c r="B14" i="60"/>
  <c r="B13" i="60"/>
  <c r="B12" i="60"/>
  <c r="B11" i="60"/>
  <c r="B10" i="60"/>
  <c r="B9" i="60"/>
  <c r="B8" i="60"/>
  <c r="B7" i="60"/>
  <c r="B6" i="60"/>
  <c r="B5" i="60"/>
  <c r="B4" i="60"/>
  <c r="B15" i="59"/>
  <c r="B16" i="59" s="1"/>
  <c r="B14" i="59"/>
  <c r="B13" i="59"/>
  <c r="B12" i="59"/>
  <c r="B11" i="59"/>
  <c r="B10" i="59"/>
  <c r="B9" i="59"/>
  <c r="B8" i="59"/>
  <c r="B7" i="59"/>
  <c r="B6" i="59"/>
  <c r="B5" i="59"/>
  <c r="B4" i="59"/>
  <c r="B15" i="58"/>
  <c r="B14" i="58"/>
  <c r="B13" i="58"/>
  <c r="B12" i="58"/>
  <c r="B11" i="58"/>
  <c r="B10" i="58"/>
  <c r="B9" i="58"/>
  <c r="B8" i="58"/>
  <c r="B7" i="58"/>
  <c r="B6" i="58"/>
  <c r="B5" i="58"/>
  <c r="B4" i="58"/>
  <c r="B15" i="57"/>
  <c r="B14" i="57"/>
  <c r="B13" i="57"/>
  <c r="B12" i="57"/>
  <c r="B11" i="57"/>
  <c r="B10" i="57"/>
  <c r="B9" i="57"/>
  <c r="B8" i="57"/>
  <c r="B7" i="57"/>
  <c r="B6" i="57"/>
  <c r="B5" i="57"/>
  <c r="B4" i="57"/>
  <c r="B15" i="56"/>
  <c r="B14" i="56"/>
  <c r="B13" i="56"/>
  <c r="B12" i="56"/>
  <c r="B11" i="56"/>
  <c r="B10" i="56"/>
  <c r="B9" i="56"/>
  <c r="B8" i="56"/>
  <c r="B7" i="56"/>
  <c r="B6" i="56"/>
  <c r="B5" i="56"/>
  <c r="B4" i="56"/>
  <c r="B15" i="55"/>
  <c r="B14" i="55"/>
  <c r="B13" i="55"/>
  <c r="B12" i="55"/>
  <c r="B11" i="55"/>
  <c r="B10" i="55"/>
  <c r="B9" i="55"/>
  <c r="B8" i="55"/>
  <c r="B7" i="55"/>
  <c r="B6" i="55"/>
  <c r="B5" i="55"/>
  <c r="B4" i="55"/>
  <c r="B15" i="54"/>
  <c r="B14" i="54"/>
  <c r="B13" i="54"/>
  <c r="B12" i="54"/>
  <c r="B11" i="54"/>
  <c r="B10" i="54"/>
  <c r="B9" i="54"/>
  <c r="B8" i="54"/>
  <c r="B7" i="54"/>
  <c r="B6" i="54"/>
  <c r="B5" i="54"/>
  <c r="B4" i="54"/>
  <c r="B15" i="53"/>
  <c r="B14" i="53"/>
  <c r="B13" i="53"/>
  <c r="B12" i="53"/>
  <c r="B11" i="53"/>
  <c r="B10" i="53"/>
  <c r="B9" i="53"/>
  <c r="B8" i="53"/>
  <c r="B7" i="53"/>
  <c r="B6" i="53"/>
  <c r="B5" i="53"/>
  <c r="B4" i="53"/>
  <c r="B15" i="52"/>
  <c r="B14" i="52"/>
  <c r="B13" i="52"/>
  <c r="B12" i="52"/>
  <c r="B11" i="52"/>
  <c r="B10" i="52"/>
  <c r="B9" i="52"/>
  <c r="B8" i="52"/>
  <c r="B7" i="52"/>
  <c r="B5" i="52"/>
  <c r="B4" i="52"/>
  <c r="B15" i="51"/>
  <c r="B14" i="51"/>
  <c r="B13" i="51"/>
  <c r="B12" i="51"/>
  <c r="B11" i="51"/>
  <c r="B10" i="51"/>
  <c r="B9" i="51"/>
  <c r="B8" i="51"/>
  <c r="B7" i="51"/>
  <c r="B6" i="51"/>
  <c r="B5" i="51"/>
  <c r="B4" i="51"/>
  <c r="B15" i="50"/>
  <c r="B14" i="50"/>
  <c r="B13" i="50"/>
  <c r="B12" i="50"/>
  <c r="B11" i="50"/>
  <c r="B10" i="50"/>
  <c r="B9" i="50"/>
  <c r="B8" i="50"/>
  <c r="B7" i="50"/>
  <c r="B6" i="50"/>
  <c r="B5" i="50"/>
  <c r="B4" i="50"/>
  <c r="B15" i="25"/>
  <c r="B14" i="25"/>
  <c r="B13" i="25"/>
  <c r="B12" i="25"/>
  <c r="B11" i="25"/>
  <c r="B10" i="25"/>
  <c r="B9" i="25"/>
  <c r="B8" i="25"/>
  <c r="B7" i="25"/>
  <c r="B6" i="25"/>
  <c r="B5" i="25"/>
  <c r="B4" i="25"/>
  <c r="B15" i="26"/>
  <c r="B14" i="26"/>
  <c r="B13" i="26"/>
  <c r="B12" i="26"/>
  <c r="B11" i="26"/>
  <c r="B10" i="26"/>
  <c r="B9" i="26"/>
  <c r="B8" i="26"/>
  <c r="B7" i="26"/>
  <c r="B6" i="26"/>
  <c r="B5" i="26"/>
  <c r="B4" i="26"/>
  <c r="B15" i="27"/>
  <c r="B14" i="27"/>
  <c r="B13" i="27"/>
  <c r="B12" i="27"/>
  <c r="B11" i="27"/>
  <c r="B10" i="27"/>
  <c r="B9" i="27"/>
  <c r="B8" i="27"/>
  <c r="B7" i="27"/>
  <c r="B6" i="27"/>
  <c r="B5" i="27"/>
  <c r="B4" i="27"/>
  <c r="B15" i="29"/>
  <c r="B14" i="29"/>
  <c r="B13" i="29"/>
  <c r="B12" i="29"/>
  <c r="B11" i="29"/>
  <c r="B10" i="29"/>
  <c r="B9" i="29"/>
  <c r="B8" i="29"/>
  <c r="B7" i="29"/>
  <c r="B6" i="29"/>
  <c r="B5" i="29"/>
  <c r="B4" i="29"/>
  <c r="B15" i="28"/>
  <c r="B14" i="28"/>
  <c r="B13" i="28"/>
  <c r="B12" i="28"/>
  <c r="B11" i="28"/>
  <c r="B10" i="28"/>
  <c r="B9" i="28"/>
  <c r="B8" i="28"/>
  <c r="B7" i="28"/>
  <c r="B6" i="28"/>
  <c r="B5" i="28"/>
  <c r="B4" i="28"/>
  <c r="N134" i="22"/>
  <c r="O134" i="22" s="1"/>
  <c r="I134" i="22"/>
  <c r="N133" i="22"/>
  <c r="O133" i="22" s="1"/>
  <c r="I133" i="22"/>
  <c r="N132" i="22"/>
  <c r="O132" i="22" s="1"/>
  <c r="I132" i="22"/>
  <c r="N128" i="22"/>
  <c r="O128" i="22" s="1"/>
  <c r="I128" i="22"/>
  <c r="N127" i="22"/>
  <c r="O127" i="22" s="1"/>
  <c r="I127" i="22"/>
  <c r="N126" i="22"/>
  <c r="O126" i="22" s="1"/>
  <c r="I126" i="22"/>
  <c r="N125" i="22"/>
  <c r="O125" i="22" s="1"/>
  <c r="I125" i="22"/>
  <c r="N124" i="22"/>
  <c r="O124" i="22" s="1"/>
  <c r="I124" i="22"/>
  <c r="N123" i="22"/>
  <c r="O123" i="22" s="1"/>
  <c r="I123" i="22"/>
  <c r="N119" i="22"/>
  <c r="O119" i="22" s="1"/>
  <c r="I119" i="22"/>
  <c r="N118" i="22"/>
  <c r="O118" i="22" s="1"/>
  <c r="I118" i="22"/>
  <c r="N117" i="22"/>
  <c r="O117" i="22" s="1"/>
  <c r="I117" i="22"/>
  <c r="N114" i="22"/>
  <c r="O114" i="22" s="1"/>
  <c r="I114" i="22"/>
  <c r="O113" i="22"/>
  <c r="N113" i="22"/>
  <c r="I113" i="22"/>
  <c r="N109" i="22"/>
  <c r="O109" i="22" s="1"/>
  <c r="I109" i="22"/>
  <c r="N108" i="22"/>
  <c r="O108" i="22" s="1"/>
  <c r="I108" i="22"/>
  <c r="N107" i="22"/>
  <c r="O107" i="22" s="1"/>
  <c r="I107" i="22"/>
  <c r="N105" i="22"/>
  <c r="O105" i="22" s="1"/>
  <c r="I105" i="22"/>
  <c r="N104" i="22"/>
  <c r="O104" i="22" s="1"/>
  <c r="I104" i="22"/>
  <c r="N102" i="22"/>
  <c r="O102" i="22" s="1"/>
  <c r="I102" i="22"/>
  <c r="N101" i="22"/>
  <c r="O101" i="22" s="1"/>
  <c r="I101" i="22"/>
  <c r="O96" i="22"/>
  <c r="N96" i="22"/>
  <c r="I96" i="22"/>
  <c r="N95" i="22"/>
  <c r="O95" i="22" s="1"/>
  <c r="I95" i="22"/>
  <c r="N94" i="22"/>
  <c r="O94" i="22" s="1"/>
  <c r="I94" i="22"/>
  <c r="N93" i="22"/>
  <c r="O93" i="22" s="1"/>
  <c r="I93" i="22"/>
  <c r="N92" i="22"/>
  <c r="O92" i="22" s="1"/>
  <c r="I92" i="22"/>
  <c r="N88" i="22"/>
  <c r="O88" i="22" s="1"/>
  <c r="I88" i="22"/>
  <c r="N86" i="22"/>
  <c r="O86" i="22" s="1"/>
  <c r="I86" i="22"/>
  <c r="N85" i="22"/>
  <c r="O85" i="22" s="1"/>
  <c r="I85" i="22"/>
  <c r="O84" i="22"/>
  <c r="N84" i="22"/>
  <c r="I84" i="22"/>
  <c r="N83" i="22"/>
  <c r="O83" i="22" s="1"/>
  <c r="I83" i="22"/>
  <c r="N82" i="22"/>
  <c r="O82" i="22" s="1"/>
  <c r="I82" i="22"/>
  <c r="N81" i="22"/>
  <c r="I81" i="22"/>
  <c r="O81" i="22" s="1"/>
  <c r="N80" i="22"/>
  <c r="O80" i="22" s="1"/>
  <c r="I80" i="22"/>
  <c r="N79" i="22"/>
  <c r="O79" i="22" s="1"/>
  <c r="I79" i="22"/>
  <c r="N74" i="22"/>
  <c r="O74" i="22" s="1"/>
  <c r="I74" i="22"/>
  <c r="N72" i="22"/>
  <c r="O72" i="22" s="1"/>
  <c r="I72" i="22"/>
  <c r="O71" i="22"/>
  <c r="N71" i="22"/>
  <c r="I71" i="22"/>
  <c r="N70" i="22"/>
  <c r="O70" i="22" s="1"/>
  <c r="I70" i="22"/>
  <c r="N67" i="22"/>
  <c r="O67" i="22" s="1"/>
  <c r="I67" i="22"/>
  <c r="N66" i="22"/>
  <c r="O66" i="22" s="1"/>
  <c r="I66" i="22"/>
  <c r="N65" i="22"/>
  <c r="O65" i="22" s="1"/>
  <c r="I65" i="22"/>
  <c r="N61" i="22"/>
  <c r="O61" i="22" s="1"/>
  <c r="I61" i="22"/>
  <c r="N60" i="22"/>
  <c r="O60" i="22" s="1"/>
  <c r="I60" i="22"/>
  <c r="N59" i="22"/>
  <c r="O59" i="22" s="1"/>
  <c r="I59" i="22"/>
  <c r="O58" i="22"/>
  <c r="N58" i="22"/>
  <c r="I58" i="22"/>
  <c r="N57" i="22"/>
  <c r="O57" i="22" s="1"/>
  <c r="I57" i="22"/>
  <c r="N56" i="22"/>
  <c r="O56" i="22" s="1"/>
  <c r="I56" i="22"/>
  <c r="N53" i="22"/>
  <c r="O53" i="22" s="1"/>
  <c r="I53" i="22"/>
  <c r="N52" i="22"/>
  <c r="O52" i="22" s="1"/>
  <c r="I52" i="22"/>
  <c r="N51" i="22"/>
  <c r="O51" i="22" s="1"/>
  <c r="I51" i="22"/>
  <c r="N50" i="22"/>
  <c r="O50" i="22" s="1"/>
  <c r="I50" i="22"/>
  <c r="N49" i="22"/>
  <c r="O49" i="22" s="1"/>
  <c r="I49" i="22"/>
  <c r="O48" i="22"/>
  <c r="N48" i="22"/>
  <c r="I48" i="22"/>
  <c r="N47" i="22"/>
  <c r="O47" i="22" s="1"/>
  <c r="I47" i="22"/>
  <c r="N46" i="22"/>
  <c r="O46" i="22" s="1"/>
  <c r="I46" i="22"/>
  <c r="N45" i="22"/>
  <c r="O45" i="22" s="1"/>
  <c r="I45" i="22"/>
  <c r="N44" i="22"/>
  <c r="O44" i="22" s="1"/>
  <c r="I44" i="22"/>
  <c r="N43" i="22"/>
  <c r="O43" i="22" s="1"/>
  <c r="I43" i="22"/>
  <c r="N42" i="22"/>
  <c r="O42" i="22" s="1"/>
  <c r="I42" i="22"/>
  <c r="N39" i="22"/>
  <c r="O39" i="22" s="1"/>
  <c r="I39" i="22"/>
  <c r="O38" i="22"/>
  <c r="N38" i="22"/>
  <c r="I38" i="22"/>
  <c r="N37" i="22"/>
  <c r="O37" i="22" s="1"/>
  <c r="I37" i="22"/>
  <c r="N36" i="22"/>
  <c r="O36" i="22" s="1"/>
  <c r="I36" i="22"/>
  <c r="N35" i="22"/>
  <c r="O35" i="22" s="1"/>
  <c r="I35" i="22"/>
  <c r="N34" i="22"/>
  <c r="O34" i="22" s="1"/>
  <c r="I34" i="22"/>
  <c r="N33" i="22"/>
  <c r="O33" i="22" s="1"/>
  <c r="I33" i="22"/>
  <c r="N32" i="22"/>
  <c r="O32" i="22" s="1"/>
  <c r="I32" i="22"/>
  <c r="N27" i="22"/>
  <c r="O27" i="22" s="1"/>
  <c r="I27" i="22"/>
  <c r="O26" i="22"/>
  <c r="N26" i="22"/>
  <c r="I26" i="22"/>
  <c r="N25" i="22"/>
  <c r="O25" i="22" s="1"/>
  <c r="I25" i="22"/>
  <c r="N24" i="22"/>
  <c r="O24" i="22" s="1"/>
  <c r="I24" i="22"/>
  <c r="N21" i="22"/>
  <c r="O21" i="22" s="1"/>
  <c r="I21" i="22"/>
  <c r="N19" i="22"/>
  <c r="O19" i="22" s="1"/>
  <c r="I19" i="22"/>
  <c r="N134" i="21"/>
  <c r="O134" i="21" s="1"/>
  <c r="I134" i="21"/>
  <c r="N133" i="21"/>
  <c r="O133" i="21" s="1"/>
  <c r="I133" i="21"/>
  <c r="N132" i="21"/>
  <c r="O132" i="21" s="1"/>
  <c r="I132" i="21"/>
  <c r="N128" i="21"/>
  <c r="I128" i="21"/>
  <c r="O128" i="21" s="1"/>
  <c r="N127" i="21"/>
  <c r="O127" i="21" s="1"/>
  <c r="I127" i="21"/>
  <c r="N126" i="21"/>
  <c r="O126" i="21" s="1"/>
  <c r="I126" i="21"/>
  <c r="N125" i="21"/>
  <c r="O125" i="21" s="1"/>
  <c r="I125" i="21"/>
  <c r="N124" i="21"/>
  <c r="O124" i="21" s="1"/>
  <c r="I124" i="21"/>
  <c r="N123" i="21"/>
  <c r="O123" i="21" s="1"/>
  <c r="I123" i="21"/>
  <c r="N119" i="21"/>
  <c r="O119" i="21" s="1"/>
  <c r="I119" i="21"/>
  <c r="N118" i="21"/>
  <c r="O118" i="21" s="1"/>
  <c r="I118" i="21"/>
  <c r="N117" i="21"/>
  <c r="I117" i="21"/>
  <c r="O117" i="21" s="1"/>
  <c r="N114" i="21"/>
  <c r="O114" i="21" s="1"/>
  <c r="I114" i="21"/>
  <c r="O113" i="21"/>
  <c r="N113" i="21"/>
  <c r="I113" i="21"/>
  <c r="N109" i="21"/>
  <c r="O109" i="21" s="1"/>
  <c r="I109" i="21"/>
  <c r="N108" i="21"/>
  <c r="O108" i="21" s="1"/>
  <c r="I108" i="21"/>
  <c r="N107" i="21"/>
  <c r="O107" i="21" s="1"/>
  <c r="I107" i="21"/>
  <c r="N105" i="21"/>
  <c r="O105" i="21" s="1"/>
  <c r="I105" i="21"/>
  <c r="N104" i="21"/>
  <c r="O104" i="21" s="1"/>
  <c r="I104" i="21"/>
  <c r="N102" i="21"/>
  <c r="I102" i="21"/>
  <c r="O102" i="21" s="1"/>
  <c r="N101" i="21"/>
  <c r="O101" i="21" s="1"/>
  <c r="I101" i="21"/>
  <c r="O96" i="21"/>
  <c r="N96" i="21"/>
  <c r="I96" i="21"/>
  <c r="N95" i="21"/>
  <c r="O95" i="21" s="1"/>
  <c r="I95" i="21"/>
  <c r="N94" i="21"/>
  <c r="O94" i="21" s="1"/>
  <c r="I94" i="21"/>
  <c r="N93" i="21"/>
  <c r="O93" i="21" s="1"/>
  <c r="I93" i="21"/>
  <c r="N92" i="21"/>
  <c r="O92" i="21" s="1"/>
  <c r="I92" i="21"/>
  <c r="N88" i="21"/>
  <c r="O88" i="21" s="1"/>
  <c r="I88" i="21"/>
  <c r="N86" i="21"/>
  <c r="I86" i="21"/>
  <c r="O86" i="21" s="1"/>
  <c r="N85" i="21"/>
  <c r="O85" i="21" s="1"/>
  <c r="I85" i="21"/>
  <c r="O84" i="21"/>
  <c r="N84" i="21"/>
  <c r="I84" i="21"/>
  <c r="N83" i="21"/>
  <c r="O83" i="21" s="1"/>
  <c r="I83" i="21"/>
  <c r="N82" i="21"/>
  <c r="O82" i="21" s="1"/>
  <c r="I82" i="21"/>
  <c r="N81" i="21"/>
  <c r="O81" i="21" s="1"/>
  <c r="I81" i="21"/>
  <c r="N80" i="21"/>
  <c r="O80" i="21" s="1"/>
  <c r="I80" i="21"/>
  <c r="N79" i="21"/>
  <c r="O79" i="21" s="1"/>
  <c r="I79" i="21"/>
  <c r="N74" i="21"/>
  <c r="I74" i="21"/>
  <c r="O74" i="21" s="1"/>
  <c r="N72" i="21"/>
  <c r="O72" i="21" s="1"/>
  <c r="I72" i="21"/>
  <c r="N71" i="21"/>
  <c r="O71" i="21" s="1"/>
  <c r="I71" i="21"/>
  <c r="N70" i="21"/>
  <c r="O70" i="21" s="1"/>
  <c r="I70" i="21"/>
  <c r="N67" i="21"/>
  <c r="O67" i="21" s="1"/>
  <c r="I67" i="21"/>
  <c r="N66" i="21"/>
  <c r="O66" i="21" s="1"/>
  <c r="I66" i="21"/>
  <c r="N65" i="21"/>
  <c r="O65" i="21" s="1"/>
  <c r="I65" i="21"/>
  <c r="N61" i="21"/>
  <c r="O61" i="21" s="1"/>
  <c r="I61" i="21"/>
  <c r="N60" i="21"/>
  <c r="I60" i="21"/>
  <c r="O60" i="21" s="1"/>
  <c r="N59" i="21"/>
  <c r="O59" i="21" s="1"/>
  <c r="I59" i="21"/>
  <c r="O58" i="21"/>
  <c r="N58" i="21"/>
  <c r="I58" i="21"/>
  <c r="N57" i="21"/>
  <c r="O57" i="21" s="1"/>
  <c r="I57" i="21"/>
  <c r="N56" i="21"/>
  <c r="O56" i="21" s="1"/>
  <c r="I56" i="21"/>
  <c r="N53" i="21"/>
  <c r="O53" i="21" s="1"/>
  <c r="I53" i="21"/>
  <c r="N52" i="21"/>
  <c r="O52" i="21" s="1"/>
  <c r="I52" i="21"/>
  <c r="N51" i="21"/>
  <c r="O51" i="21" s="1"/>
  <c r="I51" i="21"/>
  <c r="N50" i="21"/>
  <c r="I50" i="21"/>
  <c r="O50" i="21" s="1"/>
  <c r="N49" i="21"/>
  <c r="O49" i="21" s="1"/>
  <c r="I49" i="21"/>
  <c r="O48" i="21"/>
  <c r="N48" i="21"/>
  <c r="I48" i="21"/>
  <c r="N47" i="21"/>
  <c r="O47" i="21" s="1"/>
  <c r="I47" i="21"/>
  <c r="N46" i="21"/>
  <c r="O46" i="21" s="1"/>
  <c r="I46" i="21"/>
  <c r="N45" i="21"/>
  <c r="O45" i="21" s="1"/>
  <c r="I45" i="21"/>
  <c r="N44" i="21"/>
  <c r="O44" i="21" s="1"/>
  <c r="I44" i="21"/>
  <c r="N43" i="21"/>
  <c r="O43" i="21" s="1"/>
  <c r="I43" i="21"/>
  <c r="N42" i="21"/>
  <c r="I42" i="21"/>
  <c r="O42" i="21" s="1"/>
  <c r="N39" i="21"/>
  <c r="O39" i="21" s="1"/>
  <c r="I39" i="21"/>
  <c r="O38" i="21"/>
  <c r="N38" i="21"/>
  <c r="I38" i="21"/>
  <c r="N37" i="21"/>
  <c r="O37" i="21" s="1"/>
  <c r="I37" i="21"/>
  <c r="N36" i="21"/>
  <c r="O36" i="21" s="1"/>
  <c r="I36" i="21"/>
  <c r="N35" i="21"/>
  <c r="O35" i="21" s="1"/>
  <c r="I35" i="21"/>
  <c r="N34" i="21"/>
  <c r="O34" i="21" s="1"/>
  <c r="I34" i="21"/>
  <c r="N33" i="21"/>
  <c r="O33" i="21" s="1"/>
  <c r="I33" i="21"/>
  <c r="N32" i="21"/>
  <c r="I32" i="21"/>
  <c r="O32" i="21" s="1"/>
  <c r="N27" i="21"/>
  <c r="O27" i="21" s="1"/>
  <c r="I27" i="21"/>
  <c r="N26" i="21"/>
  <c r="O26" i="21" s="1"/>
  <c r="I26" i="21"/>
  <c r="N25" i="21"/>
  <c r="O25" i="21" s="1"/>
  <c r="I25" i="21"/>
  <c r="N24" i="21"/>
  <c r="O24" i="21" s="1"/>
  <c r="I24" i="21"/>
  <c r="N21" i="21"/>
  <c r="O21" i="21" s="1"/>
  <c r="I21" i="21"/>
  <c r="N19" i="21"/>
  <c r="O19" i="21" s="1"/>
  <c r="I19" i="21"/>
  <c r="N134" i="20"/>
  <c r="O134" i="20" s="1"/>
  <c r="I134" i="20"/>
  <c r="N133" i="20"/>
  <c r="O133" i="20" s="1"/>
  <c r="I133" i="20"/>
  <c r="N132" i="20"/>
  <c r="O132" i="20" s="1"/>
  <c r="I132" i="20"/>
  <c r="N128" i="20"/>
  <c r="O128" i="20" s="1"/>
  <c r="I128" i="20"/>
  <c r="N127" i="20"/>
  <c r="O127" i="20" s="1"/>
  <c r="I127" i="20"/>
  <c r="N126" i="20"/>
  <c r="O126" i="20" s="1"/>
  <c r="I126" i="20"/>
  <c r="N125" i="20"/>
  <c r="I125" i="20"/>
  <c r="O125" i="20" s="1"/>
  <c r="N124" i="20"/>
  <c r="O124" i="20" s="1"/>
  <c r="I124" i="20"/>
  <c r="N123" i="20"/>
  <c r="O123" i="20" s="1"/>
  <c r="I123" i="20"/>
  <c r="N119" i="20"/>
  <c r="O119" i="20" s="1"/>
  <c r="I119" i="20"/>
  <c r="N118" i="20"/>
  <c r="O118" i="20" s="1"/>
  <c r="I118" i="20"/>
  <c r="O117" i="20"/>
  <c r="N117" i="20"/>
  <c r="I117" i="20"/>
  <c r="N114" i="20"/>
  <c r="O114" i="20" s="1"/>
  <c r="I114" i="20"/>
  <c r="O113" i="20"/>
  <c r="N113" i="20"/>
  <c r="I113" i="20"/>
  <c r="N109" i="20"/>
  <c r="O109" i="20" s="1"/>
  <c r="I109" i="20"/>
  <c r="N108" i="20"/>
  <c r="O108" i="20" s="1"/>
  <c r="I108" i="20"/>
  <c r="N107" i="20"/>
  <c r="O107" i="20" s="1"/>
  <c r="I107" i="20"/>
  <c r="N105" i="20"/>
  <c r="O105" i="20" s="1"/>
  <c r="I105" i="20"/>
  <c r="N104" i="20"/>
  <c r="O104" i="20" s="1"/>
  <c r="I104" i="20"/>
  <c r="O102" i="20"/>
  <c r="N102" i="20"/>
  <c r="I102" i="20"/>
  <c r="N101" i="20"/>
  <c r="O101" i="20" s="1"/>
  <c r="I101" i="20"/>
  <c r="O96" i="20"/>
  <c r="N96" i="20"/>
  <c r="I96" i="20"/>
  <c r="N95" i="20"/>
  <c r="O95" i="20" s="1"/>
  <c r="I95" i="20"/>
  <c r="N94" i="20"/>
  <c r="O94" i="20" s="1"/>
  <c r="I94" i="20"/>
  <c r="N93" i="20"/>
  <c r="O93" i="20" s="1"/>
  <c r="I93" i="20"/>
  <c r="N92" i="20"/>
  <c r="O92" i="20" s="1"/>
  <c r="I92" i="20"/>
  <c r="N88" i="20"/>
  <c r="O88" i="20" s="1"/>
  <c r="I88" i="20"/>
  <c r="O86" i="20"/>
  <c r="N86" i="20"/>
  <c r="I86" i="20"/>
  <c r="N85" i="20"/>
  <c r="O85" i="20" s="1"/>
  <c r="I85" i="20"/>
  <c r="O84" i="20"/>
  <c r="N84" i="20"/>
  <c r="I84" i="20"/>
  <c r="N83" i="20"/>
  <c r="I83" i="20"/>
  <c r="O83" i="20" s="1"/>
  <c r="N82" i="20"/>
  <c r="O82" i="20" s="1"/>
  <c r="I82" i="20"/>
  <c r="N81" i="20"/>
  <c r="O81" i="20" s="1"/>
  <c r="I81" i="20"/>
  <c r="N80" i="20"/>
  <c r="O80" i="20" s="1"/>
  <c r="I80" i="20"/>
  <c r="N79" i="20"/>
  <c r="O79" i="20" s="1"/>
  <c r="I79" i="20"/>
  <c r="N74" i="20"/>
  <c r="O74" i="20" s="1"/>
  <c r="I74" i="20"/>
  <c r="N72" i="20"/>
  <c r="O72" i="20" s="1"/>
  <c r="I72" i="20"/>
  <c r="N71" i="20"/>
  <c r="O71" i="20" s="1"/>
  <c r="I71" i="20"/>
  <c r="N70" i="20"/>
  <c r="O70" i="20" s="1"/>
  <c r="I70" i="20"/>
  <c r="N67" i="20"/>
  <c r="O67" i="20" s="1"/>
  <c r="I67" i="20"/>
  <c r="N66" i="20"/>
  <c r="O66" i="20" s="1"/>
  <c r="I66" i="20"/>
  <c r="N65" i="20"/>
  <c r="O65" i="20" s="1"/>
  <c r="I65" i="20"/>
  <c r="N61" i="20"/>
  <c r="O61" i="20" s="1"/>
  <c r="I61" i="20"/>
  <c r="O60" i="20"/>
  <c r="N60" i="20"/>
  <c r="I60" i="20"/>
  <c r="N59" i="20"/>
  <c r="O59" i="20" s="1"/>
  <c r="I59" i="20"/>
  <c r="O58" i="20"/>
  <c r="N58" i="20"/>
  <c r="I58" i="20"/>
  <c r="N57" i="20"/>
  <c r="O57" i="20" s="1"/>
  <c r="I57" i="20"/>
  <c r="N56" i="20"/>
  <c r="O56" i="20" s="1"/>
  <c r="I56" i="20"/>
  <c r="N53" i="20"/>
  <c r="O53" i="20" s="1"/>
  <c r="I53" i="20"/>
  <c r="N52" i="20"/>
  <c r="O52" i="20" s="1"/>
  <c r="I52" i="20"/>
  <c r="N51" i="20"/>
  <c r="O51" i="20" s="1"/>
  <c r="I51" i="20"/>
  <c r="O50" i="20"/>
  <c r="N50" i="20"/>
  <c r="I50" i="20"/>
  <c r="N49" i="20"/>
  <c r="O49" i="20" s="1"/>
  <c r="I49" i="20"/>
  <c r="O48" i="20"/>
  <c r="N48" i="20"/>
  <c r="I48" i="20"/>
  <c r="N47" i="20"/>
  <c r="O47" i="20" s="1"/>
  <c r="I47" i="20"/>
  <c r="N46" i="20"/>
  <c r="O46" i="20" s="1"/>
  <c r="I46" i="20"/>
  <c r="N45" i="20"/>
  <c r="O45" i="20" s="1"/>
  <c r="I45" i="20"/>
  <c r="N44" i="20"/>
  <c r="O44" i="20" s="1"/>
  <c r="I44" i="20"/>
  <c r="N43" i="20"/>
  <c r="O43" i="20" s="1"/>
  <c r="I43" i="20"/>
  <c r="O42" i="20"/>
  <c r="N42" i="20"/>
  <c r="I42" i="20"/>
  <c r="N39" i="20"/>
  <c r="O39" i="20" s="1"/>
  <c r="I39" i="20"/>
  <c r="O38" i="20"/>
  <c r="N38" i="20"/>
  <c r="I38" i="20"/>
  <c r="N37" i="20"/>
  <c r="O37" i="20" s="1"/>
  <c r="I37" i="20"/>
  <c r="N36" i="20"/>
  <c r="O36" i="20" s="1"/>
  <c r="I36" i="20"/>
  <c r="N35" i="20"/>
  <c r="O35" i="20" s="1"/>
  <c r="I35" i="20"/>
  <c r="N34" i="20"/>
  <c r="O34" i="20" s="1"/>
  <c r="I34" i="20"/>
  <c r="N33" i="20"/>
  <c r="O33" i="20" s="1"/>
  <c r="I33" i="20"/>
  <c r="O32" i="20"/>
  <c r="N32" i="20"/>
  <c r="I32" i="20"/>
  <c r="N27" i="20"/>
  <c r="O27" i="20" s="1"/>
  <c r="I27" i="20"/>
  <c r="O26" i="20"/>
  <c r="N26" i="20"/>
  <c r="I26" i="20"/>
  <c r="N25" i="20"/>
  <c r="O25" i="20" s="1"/>
  <c r="I25" i="20"/>
  <c r="N24" i="20"/>
  <c r="O24" i="20" s="1"/>
  <c r="I24" i="20"/>
  <c r="N21" i="20"/>
  <c r="O21" i="20" s="1"/>
  <c r="I21" i="20"/>
  <c r="N19" i="20"/>
  <c r="O19" i="20" s="1"/>
  <c r="I19" i="20"/>
  <c r="N134" i="19"/>
  <c r="O134" i="19" s="1"/>
  <c r="I134" i="19"/>
  <c r="N133" i="19"/>
  <c r="O133" i="19" s="1"/>
  <c r="I133" i="19"/>
  <c r="N132" i="19"/>
  <c r="O132" i="19" s="1"/>
  <c r="I132" i="19"/>
  <c r="N128" i="19"/>
  <c r="I128" i="19"/>
  <c r="O128" i="19" s="1"/>
  <c r="N127" i="19"/>
  <c r="O127" i="19" s="1"/>
  <c r="I127" i="19"/>
  <c r="N126" i="19"/>
  <c r="O126" i="19" s="1"/>
  <c r="I126" i="19"/>
  <c r="N125" i="19"/>
  <c r="O125" i="19" s="1"/>
  <c r="I125" i="19"/>
  <c r="N124" i="19"/>
  <c r="O124" i="19" s="1"/>
  <c r="I124" i="19"/>
  <c r="N123" i="19"/>
  <c r="O123" i="19" s="1"/>
  <c r="I123" i="19"/>
  <c r="N119" i="19"/>
  <c r="O119" i="19" s="1"/>
  <c r="I119" i="19"/>
  <c r="N118" i="19"/>
  <c r="O118" i="19" s="1"/>
  <c r="I118" i="19"/>
  <c r="N117" i="19"/>
  <c r="I117" i="19"/>
  <c r="O117" i="19" s="1"/>
  <c r="N114" i="19"/>
  <c r="O114" i="19" s="1"/>
  <c r="I114" i="19"/>
  <c r="O113" i="19"/>
  <c r="N113" i="19"/>
  <c r="I113" i="19"/>
  <c r="N109" i="19"/>
  <c r="O109" i="19" s="1"/>
  <c r="I109" i="19"/>
  <c r="N108" i="19"/>
  <c r="O108" i="19" s="1"/>
  <c r="I108" i="19"/>
  <c r="N107" i="19"/>
  <c r="O107" i="19" s="1"/>
  <c r="I107" i="19"/>
  <c r="N105" i="19"/>
  <c r="O105" i="19" s="1"/>
  <c r="I105" i="19"/>
  <c r="N104" i="19"/>
  <c r="O104" i="19" s="1"/>
  <c r="I104" i="19"/>
  <c r="N102" i="19"/>
  <c r="I102" i="19"/>
  <c r="O102" i="19" s="1"/>
  <c r="N101" i="19"/>
  <c r="O101" i="19" s="1"/>
  <c r="I101" i="19"/>
  <c r="O96" i="19"/>
  <c r="N96" i="19"/>
  <c r="I96" i="19"/>
  <c r="N95" i="19"/>
  <c r="O95" i="19" s="1"/>
  <c r="I95" i="19"/>
  <c r="N94" i="19"/>
  <c r="O94" i="19" s="1"/>
  <c r="I94" i="19"/>
  <c r="N93" i="19"/>
  <c r="O93" i="19" s="1"/>
  <c r="I93" i="19"/>
  <c r="N92" i="19"/>
  <c r="O92" i="19" s="1"/>
  <c r="I92" i="19"/>
  <c r="N88" i="19"/>
  <c r="O88" i="19" s="1"/>
  <c r="I88" i="19"/>
  <c r="N86" i="19"/>
  <c r="I86" i="19"/>
  <c r="O86" i="19" s="1"/>
  <c r="N85" i="19"/>
  <c r="O85" i="19" s="1"/>
  <c r="I85" i="19"/>
  <c r="O84" i="19"/>
  <c r="N84" i="19"/>
  <c r="I84" i="19"/>
  <c r="N83" i="19"/>
  <c r="O83" i="19" s="1"/>
  <c r="I83" i="19"/>
  <c r="N82" i="19"/>
  <c r="O82" i="19" s="1"/>
  <c r="I82" i="19"/>
  <c r="N81" i="19"/>
  <c r="O81" i="19" s="1"/>
  <c r="I81" i="19"/>
  <c r="N80" i="19"/>
  <c r="O80" i="19" s="1"/>
  <c r="I80" i="19"/>
  <c r="N79" i="19"/>
  <c r="O79" i="19" s="1"/>
  <c r="I79" i="19"/>
  <c r="N74" i="19"/>
  <c r="I74" i="19"/>
  <c r="O74" i="19" s="1"/>
  <c r="N72" i="19"/>
  <c r="O72" i="19" s="1"/>
  <c r="I72" i="19"/>
  <c r="O71" i="19"/>
  <c r="N71" i="19"/>
  <c r="I71" i="19"/>
  <c r="N70" i="19"/>
  <c r="O70" i="19" s="1"/>
  <c r="I70" i="19"/>
  <c r="N67" i="19"/>
  <c r="O67" i="19" s="1"/>
  <c r="I67" i="19"/>
  <c r="N66" i="19"/>
  <c r="O66" i="19" s="1"/>
  <c r="I66" i="19"/>
  <c r="N65" i="19"/>
  <c r="O65" i="19" s="1"/>
  <c r="I65" i="19"/>
  <c r="N61" i="19"/>
  <c r="O61" i="19" s="1"/>
  <c r="I61" i="19"/>
  <c r="N60" i="19"/>
  <c r="I60" i="19"/>
  <c r="O60" i="19" s="1"/>
  <c r="N59" i="19"/>
  <c r="O59" i="19" s="1"/>
  <c r="I59" i="19"/>
  <c r="O58" i="19"/>
  <c r="N58" i="19"/>
  <c r="I58" i="19"/>
  <c r="N57" i="19"/>
  <c r="O57" i="19" s="1"/>
  <c r="I57" i="19"/>
  <c r="N56" i="19"/>
  <c r="O56" i="19" s="1"/>
  <c r="I56" i="19"/>
  <c r="N53" i="19"/>
  <c r="O53" i="19" s="1"/>
  <c r="I53" i="19"/>
  <c r="N52" i="19"/>
  <c r="O52" i="19" s="1"/>
  <c r="I52" i="19"/>
  <c r="N51" i="19"/>
  <c r="O51" i="19" s="1"/>
  <c r="I51" i="19"/>
  <c r="N50" i="19"/>
  <c r="I50" i="19"/>
  <c r="O50" i="19" s="1"/>
  <c r="N49" i="19"/>
  <c r="O49" i="19" s="1"/>
  <c r="I49" i="19"/>
  <c r="O48" i="19"/>
  <c r="N48" i="19"/>
  <c r="I48" i="19"/>
  <c r="N47" i="19"/>
  <c r="O47" i="19" s="1"/>
  <c r="I47" i="19"/>
  <c r="N46" i="19"/>
  <c r="O46" i="19" s="1"/>
  <c r="I46" i="19"/>
  <c r="N45" i="19"/>
  <c r="O45" i="19" s="1"/>
  <c r="I45" i="19"/>
  <c r="N44" i="19"/>
  <c r="O44" i="19" s="1"/>
  <c r="I44" i="19"/>
  <c r="N43" i="19"/>
  <c r="O43" i="19" s="1"/>
  <c r="I43" i="19"/>
  <c r="N42" i="19"/>
  <c r="I42" i="19"/>
  <c r="O42" i="19" s="1"/>
  <c r="N39" i="19"/>
  <c r="O39" i="19" s="1"/>
  <c r="I39" i="19"/>
  <c r="O38" i="19"/>
  <c r="N38" i="19"/>
  <c r="I38" i="19"/>
  <c r="N37" i="19"/>
  <c r="O37" i="19" s="1"/>
  <c r="I37" i="19"/>
  <c r="N36" i="19"/>
  <c r="O36" i="19" s="1"/>
  <c r="I36" i="19"/>
  <c r="N35" i="19"/>
  <c r="O35" i="19" s="1"/>
  <c r="I35" i="19"/>
  <c r="N34" i="19"/>
  <c r="O34" i="19" s="1"/>
  <c r="I34" i="19"/>
  <c r="N33" i="19"/>
  <c r="O33" i="19" s="1"/>
  <c r="I33" i="19"/>
  <c r="N32" i="19"/>
  <c r="I32" i="19"/>
  <c r="O32" i="19" s="1"/>
  <c r="N27" i="19"/>
  <c r="O27" i="19" s="1"/>
  <c r="I27" i="19"/>
  <c r="O26" i="19"/>
  <c r="N26" i="19"/>
  <c r="I26" i="19"/>
  <c r="N25" i="19"/>
  <c r="O25" i="19" s="1"/>
  <c r="I25" i="19"/>
  <c r="N24" i="19"/>
  <c r="O24" i="19" s="1"/>
  <c r="I24" i="19"/>
  <c r="N21" i="19"/>
  <c r="O21" i="19" s="1"/>
  <c r="I21" i="19"/>
  <c r="N19" i="19"/>
  <c r="O19" i="19" s="1"/>
  <c r="I19" i="19"/>
  <c r="N134" i="18"/>
  <c r="O134" i="18" s="1"/>
  <c r="I134" i="18"/>
  <c r="N133" i="18"/>
  <c r="O133" i="18" s="1"/>
  <c r="I133" i="18"/>
  <c r="N132" i="18"/>
  <c r="O132" i="18" s="1"/>
  <c r="I132" i="18"/>
  <c r="N128" i="18"/>
  <c r="O128" i="18" s="1"/>
  <c r="I128" i="18"/>
  <c r="N127" i="18"/>
  <c r="O127" i="18" s="1"/>
  <c r="I127" i="18"/>
  <c r="N126" i="18"/>
  <c r="O126" i="18" s="1"/>
  <c r="I126" i="18"/>
  <c r="N125" i="18"/>
  <c r="O125" i="18" s="1"/>
  <c r="I125" i="18"/>
  <c r="N124" i="18"/>
  <c r="O124" i="18" s="1"/>
  <c r="I124" i="18"/>
  <c r="N123" i="18"/>
  <c r="O123" i="18" s="1"/>
  <c r="I123" i="18"/>
  <c r="N119" i="18"/>
  <c r="O119" i="18" s="1"/>
  <c r="I119" i="18"/>
  <c r="N118" i="18"/>
  <c r="O118" i="18" s="1"/>
  <c r="I118" i="18"/>
  <c r="N117" i="18"/>
  <c r="O117" i="18" s="1"/>
  <c r="I117" i="18"/>
  <c r="N114" i="18"/>
  <c r="O114" i="18" s="1"/>
  <c r="I114" i="18"/>
  <c r="O113" i="18"/>
  <c r="N113" i="18"/>
  <c r="I113" i="18"/>
  <c r="N109" i="18"/>
  <c r="O109" i="18" s="1"/>
  <c r="I109" i="18"/>
  <c r="N108" i="18"/>
  <c r="O108" i="18" s="1"/>
  <c r="I108" i="18"/>
  <c r="N107" i="18"/>
  <c r="O107" i="18" s="1"/>
  <c r="I107" i="18"/>
  <c r="N105" i="18"/>
  <c r="O105" i="18" s="1"/>
  <c r="I105" i="18"/>
  <c r="N104" i="18"/>
  <c r="O104" i="18" s="1"/>
  <c r="I104" i="18"/>
  <c r="N102" i="18"/>
  <c r="O102" i="18" s="1"/>
  <c r="I102" i="18"/>
  <c r="N101" i="18"/>
  <c r="O101" i="18" s="1"/>
  <c r="I101" i="18"/>
  <c r="O96" i="18"/>
  <c r="N96" i="18"/>
  <c r="I96" i="18"/>
  <c r="N95" i="18"/>
  <c r="O95" i="18" s="1"/>
  <c r="I95" i="18"/>
  <c r="N94" i="18"/>
  <c r="O94" i="18" s="1"/>
  <c r="I94" i="18"/>
  <c r="N93" i="18"/>
  <c r="O93" i="18" s="1"/>
  <c r="I93" i="18"/>
  <c r="N92" i="18"/>
  <c r="O92" i="18" s="1"/>
  <c r="I92" i="18"/>
  <c r="N88" i="18"/>
  <c r="O88" i="18" s="1"/>
  <c r="I88" i="18"/>
  <c r="N86" i="18"/>
  <c r="O86" i="18" s="1"/>
  <c r="I86" i="18"/>
  <c r="N85" i="18"/>
  <c r="O85" i="18" s="1"/>
  <c r="I85" i="18"/>
  <c r="O84" i="18"/>
  <c r="N84" i="18"/>
  <c r="I84" i="18"/>
  <c r="N83" i="18"/>
  <c r="O83" i="18" s="1"/>
  <c r="I83" i="18"/>
  <c r="N82" i="18"/>
  <c r="O82" i="18" s="1"/>
  <c r="I82" i="18"/>
  <c r="N81" i="18"/>
  <c r="O81" i="18" s="1"/>
  <c r="I81" i="18"/>
  <c r="N80" i="18"/>
  <c r="O80" i="18" s="1"/>
  <c r="I80" i="18"/>
  <c r="N79" i="18"/>
  <c r="O79" i="18" s="1"/>
  <c r="I79" i="18"/>
  <c r="N74" i="18"/>
  <c r="O74" i="18" s="1"/>
  <c r="I74" i="18"/>
  <c r="N72" i="18"/>
  <c r="O72" i="18" s="1"/>
  <c r="I72" i="18"/>
  <c r="N71" i="18"/>
  <c r="O71" i="18" s="1"/>
  <c r="I71" i="18"/>
  <c r="N70" i="18"/>
  <c r="O70" i="18" s="1"/>
  <c r="I70" i="18"/>
  <c r="N67" i="18"/>
  <c r="O67" i="18" s="1"/>
  <c r="I67" i="18"/>
  <c r="N66" i="18"/>
  <c r="O66" i="18" s="1"/>
  <c r="I66" i="18"/>
  <c r="N65" i="18"/>
  <c r="O65" i="18" s="1"/>
  <c r="I65" i="18"/>
  <c r="N61" i="18"/>
  <c r="O61" i="18" s="1"/>
  <c r="I61" i="18"/>
  <c r="N60" i="18"/>
  <c r="O60" i="18" s="1"/>
  <c r="I60" i="18"/>
  <c r="N59" i="18"/>
  <c r="O59" i="18" s="1"/>
  <c r="I59" i="18"/>
  <c r="O58" i="18"/>
  <c r="N58" i="18"/>
  <c r="I58" i="18"/>
  <c r="N57" i="18"/>
  <c r="O57" i="18" s="1"/>
  <c r="I57" i="18"/>
  <c r="N56" i="18"/>
  <c r="O56" i="18" s="1"/>
  <c r="I56" i="18"/>
  <c r="N53" i="18"/>
  <c r="O53" i="18" s="1"/>
  <c r="I53" i="18"/>
  <c r="N52" i="18"/>
  <c r="O52" i="18" s="1"/>
  <c r="I52" i="18"/>
  <c r="N51" i="18"/>
  <c r="O51" i="18" s="1"/>
  <c r="I51" i="18"/>
  <c r="N50" i="18"/>
  <c r="O50" i="18" s="1"/>
  <c r="I50" i="18"/>
  <c r="N49" i="18"/>
  <c r="O49" i="18" s="1"/>
  <c r="I49" i="18"/>
  <c r="O48" i="18"/>
  <c r="N48" i="18"/>
  <c r="I48" i="18"/>
  <c r="N47" i="18"/>
  <c r="O47" i="18" s="1"/>
  <c r="I47" i="18"/>
  <c r="N46" i="18"/>
  <c r="O46" i="18" s="1"/>
  <c r="I46" i="18"/>
  <c r="N45" i="18"/>
  <c r="O45" i="18" s="1"/>
  <c r="I45" i="18"/>
  <c r="N44" i="18"/>
  <c r="O44" i="18" s="1"/>
  <c r="I44" i="18"/>
  <c r="N43" i="18"/>
  <c r="O43" i="18" s="1"/>
  <c r="I43" i="18"/>
  <c r="N42" i="18"/>
  <c r="O42" i="18" s="1"/>
  <c r="I42" i="18"/>
  <c r="N39" i="18"/>
  <c r="O39" i="18" s="1"/>
  <c r="I39" i="18"/>
  <c r="O38" i="18"/>
  <c r="N38" i="18"/>
  <c r="I38" i="18"/>
  <c r="N37" i="18"/>
  <c r="O37" i="18" s="1"/>
  <c r="I37" i="18"/>
  <c r="N36" i="18"/>
  <c r="O36" i="18" s="1"/>
  <c r="I36" i="18"/>
  <c r="N35" i="18"/>
  <c r="O35" i="18" s="1"/>
  <c r="I35" i="18"/>
  <c r="N34" i="18"/>
  <c r="O34" i="18" s="1"/>
  <c r="I34" i="18"/>
  <c r="N33" i="18"/>
  <c r="O33" i="18" s="1"/>
  <c r="I33" i="18"/>
  <c r="N32" i="18"/>
  <c r="O32" i="18" s="1"/>
  <c r="I32" i="18"/>
  <c r="N27" i="18"/>
  <c r="O27" i="18" s="1"/>
  <c r="I27" i="18"/>
  <c r="N26" i="18"/>
  <c r="O26" i="18" s="1"/>
  <c r="I26" i="18"/>
  <c r="N25" i="18"/>
  <c r="O25" i="18" s="1"/>
  <c r="I25" i="18"/>
  <c r="N24" i="18"/>
  <c r="O24" i="18" s="1"/>
  <c r="I24" i="18"/>
  <c r="N21" i="18"/>
  <c r="O21" i="18" s="1"/>
  <c r="I21" i="18"/>
  <c r="N19" i="18"/>
  <c r="I19" i="18"/>
  <c r="N134" i="17"/>
  <c r="O134" i="17" s="1"/>
  <c r="I134" i="17"/>
  <c r="N133" i="17"/>
  <c r="O133" i="17" s="1"/>
  <c r="I133" i="17"/>
  <c r="N132" i="17"/>
  <c r="O132" i="17" s="1"/>
  <c r="I132" i="17"/>
  <c r="N128" i="17"/>
  <c r="I128" i="17"/>
  <c r="N127" i="17"/>
  <c r="O127" i="17" s="1"/>
  <c r="I127" i="17"/>
  <c r="N126" i="17"/>
  <c r="O126" i="17" s="1"/>
  <c r="I126" i="17"/>
  <c r="N125" i="17"/>
  <c r="O125" i="17" s="1"/>
  <c r="I125" i="17"/>
  <c r="N124" i="17"/>
  <c r="O124" i="17" s="1"/>
  <c r="I124" i="17"/>
  <c r="N123" i="17"/>
  <c r="O123" i="17" s="1"/>
  <c r="I123" i="17"/>
  <c r="N119" i="17"/>
  <c r="O119" i="17" s="1"/>
  <c r="I119" i="17"/>
  <c r="N118" i="17"/>
  <c r="O118" i="17" s="1"/>
  <c r="I118" i="17"/>
  <c r="N117" i="17"/>
  <c r="I117" i="17"/>
  <c r="O117" i="17" s="1"/>
  <c r="N114" i="17"/>
  <c r="O114" i="17" s="1"/>
  <c r="I114" i="17"/>
  <c r="O113" i="17"/>
  <c r="N113" i="17"/>
  <c r="I113" i="17"/>
  <c r="N109" i="17"/>
  <c r="O109" i="17" s="1"/>
  <c r="I109" i="17"/>
  <c r="N108" i="17"/>
  <c r="O108" i="17" s="1"/>
  <c r="I108" i="17"/>
  <c r="N107" i="17"/>
  <c r="O107" i="17" s="1"/>
  <c r="I107" i="17"/>
  <c r="N105" i="17"/>
  <c r="O105" i="17" s="1"/>
  <c r="I105" i="17"/>
  <c r="N104" i="17"/>
  <c r="O104" i="17" s="1"/>
  <c r="I104" i="17"/>
  <c r="N102" i="17"/>
  <c r="I102" i="17"/>
  <c r="O102" i="17" s="1"/>
  <c r="N101" i="17"/>
  <c r="O101" i="17" s="1"/>
  <c r="I101" i="17"/>
  <c r="O96" i="17"/>
  <c r="N96" i="17"/>
  <c r="I96" i="17"/>
  <c r="N95" i="17"/>
  <c r="O95" i="17" s="1"/>
  <c r="I95" i="17"/>
  <c r="N94" i="17"/>
  <c r="O94" i="17" s="1"/>
  <c r="I94" i="17"/>
  <c r="N93" i="17"/>
  <c r="O93" i="17" s="1"/>
  <c r="I93" i="17"/>
  <c r="N92" i="17"/>
  <c r="O92" i="17" s="1"/>
  <c r="I92" i="17"/>
  <c r="N88" i="17"/>
  <c r="O88" i="17" s="1"/>
  <c r="I88" i="17"/>
  <c r="N86" i="17"/>
  <c r="I86" i="17"/>
  <c r="O86" i="17" s="1"/>
  <c r="N85" i="17"/>
  <c r="O85" i="17" s="1"/>
  <c r="I85" i="17"/>
  <c r="O84" i="17"/>
  <c r="N84" i="17"/>
  <c r="I84" i="17"/>
  <c r="N83" i="17"/>
  <c r="O83" i="17" s="1"/>
  <c r="I83" i="17"/>
  <c r="N82" i="17"/>
  <c r="O82" i="17" s="1"/>
  <c r="I82" i="17"/>
  <c r="N81" i="17"/>
  <c r="O81" i="17" s="1"/>
  <c r="I81" i="17"/>
  <c r="N80" i="17"/>
  <c r="O80" i="17" s="1"/>
  <c r="I80" i="17"/>
  <c r="N79" i="17"/>
  <c r="O79" i="17" s="1"/>
  <c r="I79" i="17"/>
  <c r="N74" i="17"/>
  <c r="I74" i="17"/>
  <c r="O74" i="17" s="1"/>
  <c r="N72" i="17"/>
  <c r="O72" i="17" s="1"/>
  <c r="I72" i="17"/>
  <c r="N71" i="17"/>
  <c r="O71" i="17" s="1"/>
  <c r="I71" i="17"/>
  <c r="N70" i="17"/>
  <c r="O70" i="17" s="1"/>
  <c r="I70" i="17"/>
  <c r="N67" i="17"/>
  <c r="O67" i="17" s="1"/>
  <c r="I67" i="17"/>
  <c r="N66" i="17"/>
  <c r="O66" i="17" s="1"/>
  <c r="I66" i="17"/>
  <c r="N65" i="17"/>
  <c r="O65" i="17" s="1"/>
  <c r="I65" i="17"/>
  <c r="N61" i="17"/>
  <c r="O61" i="17" s="1"/>
  <c r="I61" i="17"/>
  <c r="N60" i="17"/>
  <c r="I60" i="17"/>
  <c r="O60" i="17" s="1"/>
  <c r="N59" i="17"/>
  <c r="O59" i="17" s="1"/>
  <c r="I59" i="17"/>
  <c r="O58" i="17"/>
  <c r="N58" i="17"/>
  <c r="I58" i="17"/>
  <c r="N57" i="17"/>
  <c r="O57" i="17" s="1"/>
  <c r="I57" i="17"/>
  <c r="N56" i="17"/>
  <c r="O56" i="17" s="1"/>
  <c r="I56" i="17"/>
  <c r="N53" i="17"/>
  <c r="O53" i="17" s="1"/>
  <c r="I53" i="17"/>
  <c r="N52" i="17"/>
  <c r="O52" i="17" s="1"/>
  <c r="I52" i="17"/>
  <c r="N51" i="17"/>
  <c r="O51" i="17" s="1"/>
  <c r="I51" i="17"/>
  <c r="N50" i="17"/>
  <c r="I50" i="17"/>
  <c r="O50" i="17" s="1"/>
  <c r="N49" i="17"/>
  <c r="O49" i="17" s="1"/>
  <c r="I49" i="17"/>
  <c r="O48" i="17"/>
  <c r="N48" i="17"/>
  <c r="I48" i="17"/>
  <c r="N47" i="17"/>
  <c r="O47" i="17" s="1"/>
  <c r="I47" i="17"/>
  <c r="N46" i="17"/>
  <c r="O46" i="17" s="1"/>
  <c r="I46" i="17"/>
  <c r="N45" i="17"/>
  <c r="O45" i="17" s="1"/>
  <c r="I45" i="17"/>
  <c r="N44" i="17"/>
  <c r="O44" i="17" s="1"/>
  <c r="I44" i="17"/>
  <c r="N43" i="17"/>
  <c r="O43" i="17" s="1"/>
  <c r="I43" i="17"/>
  <c r="N42" i="17"/>
  <c r="I42" i="17"/>
  <c r="O42" i="17" s="1"/>
  <c r="N39" i="17"/>
  <c r="O39" i="17" s="1"/>
  <c r="I39" i="17"/>
  <c r="O38" i="17"/>
  <c r="N38" i="17"/>
  <c r="I38" i="17"/>
  <c r="N37" i="17"/>
  <c r="O37" i="17" s="1"/>
  <c r="I37" i="17"/>
  <c r="N36" i="17"/>
  <c r="O36" i="17" s="1"/>
  <c r="I36" i="17"/>
  <c r="N35" i="17"/>
  <c r="O35" i="17" s="1"/>
  <c r="I35" i="17"/>
  <c r="N34" i="17"/>
  <c r="O34" i="17" s="1"/>
  <c r="I34" i="17"/>
  <c r="N33" i="17"/>
  <c r="O33" i="17" s="1"/>
  <c r="I33" i="17"/>
  <c r="N32" i="17"/>
  <c r="I32" i="17"/>
  <c r="O32" i="17" s="1"/>
  <c r="N27" i="17"/>
  <c r="O27" i="17" s="1"/>
  <c r="I27" i="17"/>
  <c r="N26" i="17"/>
  <c r="O26" i="17" s="1"/>
  <c r="I26" i="17"/>
  <c r="N25" i="17"/>
  <c r="O25" i="17" s="1"/>
  <c r="I25" i="17"/>
  <c r="N24" i="17"/>
  <c r="O24" i="17" s="1"/>
  <c r="I24" i="17"/>
  <c r="N21" i="17"/>
  <c r="O21" i="17" s="1"/>
  <c r="I21" i="17"/>
  <c r="N19" i="17"/>
  <c r="O19" i="17" s="1"/>
  <c r="I19" i="17"/>
  <c r="N134" i="16"/>
  <c r="O134" i="16" s="1"/>
  <c r="I134" i="16"/>
  <c r="N133" i="16"/>
  <c r="O133" i="16" s="1"/>
  <c r="I133" i="16"/>
  <c r="N132" i="16"/>
  <c r="O132" i="16" s="1"/>
  <c r="I132" i="16"/>
  <c r="N128" i="16"/>
  <c r="O128" i="16" s="1"/>
  <c r="I128" i="16"/>
  <c r="N127" i="16"/>
  <c r="O127" i="16" s="1"/>
  <c r="I127" i="16"/>
  <c r="N126" i="16"/>
  <c r="O126" i="16" s="1"/>
  <c r="I126" i="16"/>
  <c r="N125" i="16"/>
  <c r="O125" i="16" s="1"/>
  <c r="I125" i="16"/>
  <c r="N124" i="16"/>
  <c r="O124" i="16" s="1"/>
  <c r="I124" i="16"/>
  <c r="N123" i="16"/>
  <c r="O123" i="16" s="1"/>
  <c r="I123" i="16"/>
  <c r="N119" i="16"/>
  <c r="O119" i="16" s="1"/>
  <c r="I119" i="16"/>
  <c r="N118" i="16"/>
  <c r="O118" i="16" s="1"/>
  <c r="I118" i="16"/>
  <c r="N117" i="16"/>
  <c r="O117" i="16" s="1"/>
  <c r="I117" i="16"/>
  <c r="N114" i="16"/>
  <c r="O114" i="16" s="1"/>
  <c r="I114" i="16"/>
  <c r="O113" i="16"/>
  <c r="N113" i="16"/>
  <c r="I113" i="16"/>
  <c r="N109" i="16"/>
  <c r="O109" i="16" s="1"/>
  <c r="I109" i="16"/>
  <c r="N108" i="16"/>
  <c r="O108" i="16" s="1"/>
  <c r="I108" i="16"/>
  <c r="N107" i="16"/>
  <c r="O107" i="16" s="1"/>
  <c r="I107" i="16"/>
  <c r="N105" i="16"/>
  <c r="O105" i="16" s="1"/>
  <c r="I105" i="16"/>
  <c r="N104" i="16"/>
  <c r="O104" i="16" s="1"/>
  <c r="I104" i="16"/>
  <c r="N102" i="16"/>
  <c r="O102" i="16" s="1"/>
  <c r="I102" i="16"/>
  <c r="N101" i="16"/>
  <c r="O101" i="16" s="1"/>
  <c r="I101" i="16"/>
  <c r="O96" i="16"/>
  <c r="N96" i="16"/>
  <c r="I96" i="16"/>
  <c r="N95" i="16"/>
  <c r="O95" i="16" s="1"/>
  <c r="I95" i="16"/>
  <c r="N94" i="16"/>
  <c r="O94" i="16" s="1"/>
  <c r="I94" i="16"/>
  <c r="N93" i="16"/>
  <c r="O93" i="16" s="1"/>
  <c r="I93" i="16"/>
  <c r="N92" i="16"/>
  <c r="O92" i="16" s="1"/>
  <c r="I92" i="16"/>
  <c r="N88" i="16"/>
  <c r="O88" i="16" s="1"/>
  <c r="I88" i="16"/>
  <c r="N86" i="16"/>
  <c r="O86" i="16" s="1"/>
  <c r="I86" i="16"/>
  <c r="N85" i="16"/>
  <c r="O85" i="16" s="1"/>
  <c r="I85" i="16"/>
  <c r="O84" i="16"/>
  <c r="N84" i="16"/>
  <c r="I84" i="16"/>
  <c r="N83" i="16"/>
  <c r="O83" i="16" s="1"/>
  <c r="I83" i="16"/>
  <c r="N82" i="16"/>
  <c r="O82" i="16" s="1"/>
  <c r="I82" i="16"/>
  <c r="N81" i="16"/>
  <c r="I81" i="16"/>
  <c r="O81" i="16" s="1"/>
  <c r="N80" i="16"/>
  <c r="O80" i="16" s="1"/>
  <c r="I80" i="16"/>
  <c r="N79" i="16"/>
  <c r="O79" i="16" s="1"/>
  <c r="I79" i="16"/>
  <c r="N74" i="16"/>
  <c r="O74" i="16" s="1"/>
  <c r="I74" i="16"/>
  <c r="N72" i="16"/>
  <c r="O72" i="16" s="1"/>
  <c r="I72" i="16"/>
  <c r="N71" i="16"/>
  <c r="O71" i="16" s="1"/>
  <c r="I71" i="16"/>
  <c r="N70" i="16"/>
  <c r="O70" i="16" s="1"/>
  <c r="I70" i="16"/>
  <c r="N67" i="16"/>
  <c r="O67" i="16" s="1"/>
  <c r="I67" i="16"/>
  <c r="N66" i="16"/>
  <c r="O66" i="16" s="1"/>
  <c r="I66" i="16"/>
  <c r="N65" i="16"/>
  <c r="O65" i="16" s="1"/>
  <c r="I65" i="16"/>
  <c r="N61" i="16"/>
  <c r="O61" i="16" s="1"/>
  <c r="I61" i="16"/>
  <c r="N60" i="16"/>
  <c r="O60" i="16" s="1"/>
  <c r="I60" i="16"/>
  <c r="N59" i="16"/>
  <c r="O59" i="16" s="1"/>
  <c r="I59" i="16"/>
  <c r="O58" i="16"/>
  <c r="N58" i="16"/>
  <c r="I58" i="16"/>
  <c r="N57" i="16"/>
  <c r="O57" i="16" s="1"/>
  <c r="I57" i="16"/>
  <c r="N56" i="16"/>
  <c r="O56" i="16" s="1"/>
  <c r="I56" i="16"/>
  <c r="N53" i="16"/>
  <c r="O53" i="16" s="1"/>
  <c r="I53" i="16"/>
  <c r="N52" i="16"/>
  <c r="O52" i="16" s="1"/>
  <c r="I52" i="16"/>
  <c r="N51" i="16"/>
  <c r="O51" i="16" s="1"/>
  <c r="I51" i="16"/>
  <c r="N50" i="16"/>
  <c r="O50" i="16" s="1"/>
  <c r="I50" i="16"/>
  <c r="N49" i="16"/>
  <c r="O49" i="16" s="1"/>
  <c r="I49" i="16"/>
  <c r="O48" i="16"/>
  <c r="N48" i="16"/>
  <c r="I48" i="16"/>
  <c r="N47" i="16"/>
  <c r="O47" i="16" s="1"/>
  <c r="I47" i="16"/>
  <c r="N46" i="16"/>
  <c r="O46" i="16" s="1"/>
  <c r="I46" i="16"/>
  <c r="N45" i="16"/>
  <c r="O45" i="16" s="1"/>
  <c r="I45" i="16"/>
  <c r="N44" i="16"/>
  <c r="O44" i="16" s="1"/>
  <c r="I44" i="16"/>
  <c r="N43" i="16"/>
  <c r="O43" i="16" s="1"/>
  <c r="I43" i="16"/>
  <c r="N42" i="16"/>
  <c r="O42" i="16" s="1"/>
  <c r="I42" i="16"/>
  <c r="N39" i="16"/>
  <c r="O39" i="16" s="1"/>
  <c r="I39" i="16"/>
  <c r="O38" i="16"/>
  <c r="N38" i="16"/>
  <c r="I38" i="16"/>
  <c r="N37" i="16"/>
  <c r="O37" i="16" s="1"/>
  <c r="I37" i="16"/>
  <c r="N36" i="16"/>
  <c r="O36" i="16" s="1"/>
  <c r="I36" i="16"/>
  <c r="N35" i="16"/>
  <c r="O35" i="16" s="1"/>
  <c r="I35" i="16"/>
  <c r="N34" i="16"/>
  <c r="O34" i="16" s="1"/>
  <c r="I34" i="16"/>
  <c r="N33" i="16"/>
  <c r="O33" i="16" s="1"/>
  <c r="I33" i="16"/>
  <c r="N32" i="16"/>
  <c r="O32" i="16" s="1"/>
  <c r="I32" i="16"/>
  <c r="N27" i="16"/>
  <c r="O27" i="16" s="1"/>
  <c r="I27" i="16"/>
  <c r="N26" i="16"/>
  <c r="O26" i="16" s="1"/>
  <c r="I26" i="16"/>
  <c r="N25" i="16"/>
  <c r="O25" i="16" s="1"/>
  <c r="I25" i="16"/>
  <c r="N24" i="16"/>
  <c r="O24" i="16" s="1"/>
  <c r="I24" i="16"/>
  <c r="N21" i="16"/>
  <c r="O21" i="16" s="1"/>
  <c r="I21" i="16"/>
  <c r="N19" i="16"/>
  <c r="O19" i="16" s="1"/>
  <c r="I19" i="16"/>
  <c r="O134" i="15"/>
  <c r="N134" i="15"/>
  <c r="I134" i="15"/>
  <c r="N133" i="15"/>
  <c r="O133" i="15" s="1"/>
  <c r="I133" i="15"/>
  <c r="N132" i="15"/>
  <c r="O132" i="15" s="1"/>
  <c r="I132" i="15"/>
  <c r="N128" i="15"/>
  <c r="O128" i="15" s="1"/>
  <c r="I128" i="15"/>
  <c r="N127" i="15"/>
  <c r="O127" i="15" s="1"/>
  <c r="I127" i="15"/>
  <c r="N126" i="15"/>
  <c r="O126" i="15" s="1"/>
  <c r="I126" i="15"/>
  <c r="N125" i="15"/>
  <c r="I125" i="15"/>
  <c r="N124" i="15"/>
  <c r="O124" i="15" s="1"/>
  <c r="I124" i="15"/>
  <c r="N123" i="15"/>
  <c r="O123" i="15" s="1"/>
  <c r="I123" i="15"/>
  <c r="N119" i="15"/>
  <c r="O119" i="15" s="1"/>
  <c r="I119" i="15"/>
  <c r="N118" i="15"/>
  <c r="O118" i="15" s="1"/>
  <c r="I118" i="15"/>
  <c r="N117" i="15"/>
  <c r="O117" i="15" s="1"/>
  <c r="I117" i="15"/>
  <c r="N114" i="15"/>
  <c r="O114" i="15" s="1"/>
  <c r="I114" i="15"/>
  <c r="O113" i="15"/>
  <c r="N113" i="15"/>
  <c r="I113" i="15"/>
  <c r="N109" i="15"/>
  <c r="I109" i="15"/>
  <c r="O109" i="15" s="1"/>
  <c r="N108" i="15"/>
  <c r="O108" i="15" s="1"/>
  <c r="I108" i="15"/>
  <c r="O107" i="15"/>
  <c r="N107" i="15"/>
  <c r="I107" i="15"/>
  <c r="N105" i="15"/>
  <c r="O105" i="15" s="1"/>
  <c r="I105" i="15"/>
  <c r="N104" i="15"/>
  <c r="O104" i="15" s="1"/>
  <c r="I104" i="15"/>
  <c r="N102" i="15"/>
  <c r="O102" i="15" s="1"/>
  <c r="I102" i="15"/>
  <c r="N101" i="15"/>
  <c r="O101" i="15" s="1"/>
  <c r="I101" i="15"/>
  <c r="O96" i="15"/>
  <c r="N96" i="15"/>
  <c r="I96" i="15"/>
  <c r="N95" i="15"/>
  <c r="I95" i="15"/>
  <c r="O95" i="15" s="1"/>
  <c r="N94" i="15"/>
  <c r="O94" i="15" s="1"/>
  <c r="I94" i="15"/>
  <c r="O93" i="15"/>
  <c r="N93" i="15"/>
  <c r="I93" i="15"/>
  <c r="N92" i="15"/>
  <c r="O92" i="15" s="1"/>
  <c r="I92" i="15"/>
  <c r="N88" i="15"/>
  <c r="O88" i="15" s="1"/>
  <c r="I88" i="15"/>
  <c r="N86" i="15"/>
  <c r="O86" i="15" s="1"/>
  <c r="I86" i="15"/>
  <c r="N85" i="15"/>
  <c r="O85" i="15" s="1"/>
  <c r="I85" i="15"/>
  <c r="O84" i="15"/>
  <c r="N84" i="15"/>
  <c r="I84" i="15"/>
  <c r="N83" i="15"/>
  <c r="I83" i="15"/>
  <c r="O83" i="15" s="1"/>
  <c r="N82" i="15"/>
  <c r="O82" i="15" s="1"/>
  <c r="I82" i="15"/>
  <c r="O81" i="15"/>
  <c r="N81" i="15"/>
  <c r="I81" i="15"/>
  <c r="N80" i="15"/>
  <c r="O80" i="15" s="1"/>
  <c r="I80" i="15"/>
  <c r="N79" i="15"/>
  <c r="O79" i="15" s="1"/>
  <c r="I79" i="15"/>
  <c r="N74" i="15"/>
  <c r="O74" i="15" s="1"/>
  <c r="I74" i="15"/>
  <c r="N72" i="15"/>
  <c r="O72" i="15" s="1"/>
  <c r="I72" i="15"/>
  <c r="O71" i="15"/>
  <c r="N71" i="15"/>
  <c r="I71" i="15"/>
  <c r="N70" i="15"/>
  <c r="I70" i="15"/>
  <c r="N67" i="15"/>
  <c r="O67" i="15" s="1"/>
  <c r="I67" i="15"/>
  <c r="O66" i="15"/>
  <c r="N66" i="15"/>
  <c r="I66" i="15"/>
  <c r="N65" i="15"/>
  <c r="O65" i="15" s="1"/>
  <c r="I65" i="15"/>
  <c r="N61" i="15"/>
  <c r="O61" i="15" s="1"/>
  <c r="I61" i="15"/>
  <c r="N60" i="15"/>
  <c r="O60" i="15" s="1"/>
  <c r="I60" i="15"/>
  <c r="N59" i="15"/>
  <c r="O59" i="15" s="1"/>
  <c r="I59" i="15"/>
  <c r="O58" i="15"/>
  <c r="N58" i="15"/>
  <c r="I58" i="15"/>
  <c r="N57" i="15"/>
  <c r="I57" i="15"/>
  <c r="O57" i="15" s="1"/>
  <c r="N56" i="15"/>
  <c r="O56" i="15" s="1"/>
  <c r="I56" i="15"/>
  <c r="O53" i="15"/>
  <c r="N53" i="15"/>
  <c r="I53" i="15"/>
  <c r="N52" i="15"/>
  <c r="O52" i="15" s="1"/>
  <c r="I52" i="15"/>
  <c r="N51" i="15"/>
  <c r="O51" i="15" s="1"/>
  <c r="I51" i="15"/>
  <c r="N50" i="15"/>
  <c r="O50" i="15" s="1"/>
  <c r="I50" i="15"/>
  <c r="N49" i="15"/>
  <c r="O49" i="15" s="1"/>
  <c r="I49" i="15"/>
  <c r="O48" i="15"/>
  <c r="N48" i="15"/>
  <c r="I48" i="15"/>
  <c r="N47" i="15"/>
  <c r="O47" i="15" s="1"/>
  <c r="I47" i="15"/>
  <c r="N46" i="15"/>
  <c r="O46" i="15" s="1"/>
  <c r="I46" i="15"/>
  <c r="O45" i="15"/>
  <c r="N45" i="15"/>
  <c r="I45" i="15"/>
  <c r="N44" i="15"/>
  <c r="O44" i="15" s="1"/>
  <c r="I44" i="15"/>
  <c r="N43" i="15"/>
  <c r="O43" i="15" s="1"/>
  <c r="I43" i="15"/>
  <c r="N42" i="15"/>
  <c r="O42" i="15" s="1"/>
  <c r="I42" i="15"/>
  <c r="N39" i="15"/>
  <c r="O39" i="15" s="1"/>
  <c r="I39" i="15"/>
  <c r="O38" i="15"/>
  <c r="N38" i="15"/>
  <c r="I38" i="15"/>
  <c r="N37" i="15"/>
  <c r="O37" i="15" s="1"/>
  <c r="I37" i="15"/>
  <c r="N36" i="15"/>
  <c r="O36" i="15" s="1"/>
  <c r="I36" i="15"/>
  <c r="O35" i="15"/>
  <c r="N35" i="15"/>
  <c r="I35" i="15"/>
  <c r="N34" i="15"/>
  <c r="O34" i="15" s="1"/>
  <c r="I34" i="15"/>
  <c r="N33" i="15"/>
  <c r="O33" i="15" s="1"/>
  <c r="I33" i="15"/>
  <c r="N32" i="15"/>
  <c r="O32" i="15" s="1"/>
  <c r="I32" i="15"/>
  <c r="N27" i="15"/>
  <c r="O27" i="15" s="1"/>
  <c r="I27" i="15"/>
  <c r="N26" i="15"/>
  <c r="O26" i="15" s="1"/>
  <c r="I26" i="15"/>
  <c r="N25" i="15"/>
  <c r="O25" i="15" s="1"/>
  <c r="I25" i="15"/>
  <c r="N24" i="15"/>
  <c r="O24" i="15" s="1"/>
  <c r="I24" i="15"/>
  <c r="O21" i="15"/>
  <c r="N21" i="15"/>
  <c r="I21" i="15"/>
  <c r="N19" i="15"/>
  <c r="O19" i="15" s="1"/>
  <c r="I19" i="15"/>
  <c r="N134" i="14"/>
  <c r="O134" i="14" s="1"/>
  <c r="I134" i="14"/>
  <c r="N133" i="14"/>
  <c r="O133" i="14" s="1"/>
  <c r="I133" i="14"/>
  <c r="N132" i="14"/>
  <c r="O132" i="14" s="1"/>
  <c r="I132" i="14"/>
  <c r="N128" i="14"/>
  <c r="I128" i="14"/>
  <c r="O128" i="14" s="1"/>
  <c r="N127" i="14"/>
  <c r="O127" i="14" s="1"/>
  <c r="I127" i="14"/>
  <c r="N126" i="14"/>
  <c r="O126" i="14" s="1"/>
  <c r="I126" i="14"/>
  <c r="I125" i="14"/>
  <c r="N124" i="14"/>
  <c r="O124" i="14" s="1"/>
  <c r="I124" i="14"/>
  <c r="N123" i="14"/>
  <c r="O123" i="14" s="1"/>
  <c r="I123" i="14"/>
  <c r="N119" i="14"/>
  <c r="O119" i="14" s="1"/>
  <c r="I119" i="14"/>
  <c r="N118" i="14"/>
  <c r="O118" i="14" s="1"/>
  <c r="I118" i="14"/>
  <c r="N117" i="14"/>
  <c r="I117" i="14"/>
  <c r="O117" i="14" s="1"/>
  <c r="N114" i="14"/>
  <c r="O114" i="14" s="1"/>
  <c r="N113" i="14"/>
  <c r="O113" i="14" s="1"/>
  <c r="N109" i="14"/>
  <c r="O109" i="14" s="1"/>
  <c r="I109" i="14"/>
  <c r="N108" i="14"/>
  <c r="O108" i="14" s="1"/>
  <c r="I108" i="14"/>
  <c r="O107" i="14"/>
  <c r="N107" i="14"/>
  <c r="I107" i="14"/>
  <c r="N105" i="14"/>
  <c r="O105" i="14" s="1"/>
  <c r="I105" i="14"/>
  <c r="N104" i="14"/>
  <c r="O104" i="14" s="1"/>
  <c r="I104" i="14"/>
  <c r="N102" i="14"/>
  <c r="I102" i="14"/>
  <c r="O102" i="14" s="1"/>
  <c r="N101" i="14"/>
  <c r="O101" i="14" s="1"/>
  <c r="I101" i="14"/>
  <c r="N96" i="14"/>
  <c r="O96" i="14" s="1"/>
  <c r="I96" i="14"/>
  <c r="N95" i="14"/>
  <c r="O95" i="14" s="1"/>
  <c r="I95" i="14"/>
  <c r="N94" i="14"/>
  <c r="O94" i="14" s="1"/>
  <c r="I94" i="14"/>
  <c r="O93" i="14"/>
  <c r="N93" i="14"/>
  <c r="I93" i="14"/>
  <c r="N92" i="14"/>
  <c r="O92" i="14" s="1"/>
  <c r="I92" i="14"/>
  <c r="N88" i="14"/>
  <c r="O88" i="14" s="1"/>
  <c r="I88" i="14"/>
  <c r="N86" i="14"/>
  <c r="I86" i="14"/>
  <c r="O86" i="14" s="1"/>
  <c r="N85" i="14"/>
  <c r="O85" i="14" s="1"/>
  <c r="I85" i="14"/>
  <c r="N84" i="14"/>
  <c r="O84" i="14" s="1"/>
  <c r="I84" i="14"/>
  <c r="N83" i="14"/>
  <c r="O83" i="14" s="1"/>
  <c r="I83" i="14"/>
  <c r="N82" i="14"/>
  <c r="O82" i="14" s="1"/>
  <c r="I82" i="14"/>
  <c r="O81" i="14"/>
  <c r="N81" i="14"/>
  <c r="I81" i="14"/>
  <c r="N80" i="14"/>
  <c r="O80" i="14" s="1"/>
  <c r="I80" i="14"/>
  <c r="N79" i="14"/>
  <c r="O79" i="14" s="1"/>
  <c r="I79" i="14"/>
  <c r="N74" i="14"/>
  <c r="I74" i="14"/>
  <c r="O74" i="14" s="1"/>
  <c r="N72" i="14"/>
  <c r="O72" i="14" s="1"/>
  <c r="I72" i="14"/>
  <c r="N71" i="14"/>
  <c r="O71" i="14" s="1"/>
  <c r="I71" i="14"/>
  <c r="N70" i="14"/>
  <c r="O70" i="14" s="1"/>
  <c r="I70" i="14"/>
  <c r="N67" i="14"/>
  <c r="O67" i="14" s="1"/>
  <c r="I67" i="14"/>
  <c r="O66" i="14"/>
  <c r="N66" i="14"/>
  <c r="I66" i="14"/>
  <c r="N65" i="14"/>
  <c r="O65" i="14" s="1"/>
  <c r="I65" i="14"/>
  <c r="N61" i="14"/>
  <c r="O61" i="14" s="1"/>
  <c r="I61" i="14"/>
  <c r="N60" i="14"/>
  <c r="I60" i="14"/>
  <c r="O60" i="14" s="1"/>
  <c r="N59" i="14"/>
  <c r="O59" i="14" s="1"/>
  <c r="I59" i="14"/>
  <c r="N58" i="14"/>
  <c r="O58" i="14" s="1"/>
  <c r="I58" i="14"/>
  <c r="N57" i="14"/>
  <c r="O57" i="14" s="1"/>
  <c r="I57" i="14"/>
  <c r="N56" i="14"/>
  <c r="O56" i="14" s="1"/>
  <c r="I56" i="14"/>
  <c r="O53" i="14"/>
  <c r="N53" i="14"/>
  <c r="I53" i="14"/>
  <c r="N52" i="14"/>
  <c r="O52" i="14" s="1"/>
  <c r="I52" i="14"/>
  <c r="N51" i="14"/>
  <c r="O51" i="14" s="1"/>
  <c r="I51" i="14"/>
  <c r="N50" i="14"/>
  <c r="I50" i="14"/>
  <c r="O50" i="14" s="1"/>
  <c r="N49" i="14"/>
  <c r="O49" i="14" s="1"/>
  <c r="I49" i="14"/>
  <c r="N48" i="14"/>
  <c r="O48" i="14" s="1"/>
  <c r="I48" i="14"/>
  <c r="N47" i="14"/>
  <c r="O47" i="14" s="1"/>
  <c r="I47" i="14"/>
  <c r="N46" i="14"/>
  <c r="O46" i="14" s="1"/>
  <c r="I46" i="14"/>
  <c r="O45" i="14"/>
  <c r="N45" i="14"/>
  <c r="I45" i="14"/>
  <c r="N44" i="14"/>
  <c r="O44" i="14" s="1"/>
  <c r="I44" i="14"/>
  <c r="N43" i="14"/>
  <c r="O43" i="14" s="1"/>
  <c r="I43" i="14"/>
  <c r="N42" i="14"/>
  <c r="I42" i="14"/>
  <c r="O42" i="14" s="1"/>
  <c r="N39" i="14"/>
  <c r="O39" i="14" s="1"/>
  <c r="I39" i="14"/>
  <c r="N38" i="14"/>
  <c r="O38" i="14" s="1"/>
  <c r="I38" i="14"/>
  <c r="N37" i="14"/>
  <c r="O37" i="14" s="1"/>
  <c r="I37" i="14"/>
  <c r="N36" i="14"/>
  <c r="O36" i="14" s="1"/>
  <c r="I36" i="14"/>
  <c r="O35" i="14"/>
  <c r="N35" i="14"/>
  <c r="I35" i="14"/>
  <c r="N34" i="14"/>
  <c r="O34" i="14" s="1"/>
  <c r="I34" i="14"/>
  <c r="N33" i="14"/>
  <c r="O33" i="14" s="1"/>
  <c r="I33" i="14"/>
  <c r="N32" i="14"/>
  <c r="I32" i="14"/>
  <c r="O32" i="14" s="1"/>
  <c r="N27" i="14"/>
  <c r="O27" i="14" s="1"/>
  <c r="I27" i="14"/>
  <c r="N26" i="14"/>
  <c r="O26" i="14" s="1"/>
  <c r="I26" i="14"/>
  <c r="N25" i="14"/>
  <c r="O25" i="14" s="1"/>
  <c r="I25" i="14"/>
  <c r="N24" i="14"/>
  <c r="O24" i="14" s="1"/>
  <c r="I24" i="14"/>
  <c r="O21" i="14"/>
  <c r="N21" i="14"/>
  <c r="I21" i="14"/>
  <c r="N19" i="14"/>
  <c r="O19" i="14" s="1"/>
  <c r="I19" i="14"/>
  <c r="N134" i="13"/>
  <c r="O134" i="13" s="1"/>
  <c r="I134" i="13"/>
  <c r="N133" i="13"/>
  <c r="O133" i="13" s="1"/>
  <c r="I133" i="13"/>
  <c r="N132" i="13"/>
  <c r="O132" i="13" s="1"/>
  <c r="I132" i="13"/>
  <c r="N128" i="13"/>
  <c r="I128" i="13"/>
  <c r="O128" i="13" s="1"/>
  <c r="N127" i="13"/>
  <c r="O127" i="13" s="1"/>
  <c r="I127" i="13"/>
  <c r="N126" i="13"/>
  <c r="O126" i="13" s="1"/>
  <c r="I126" i="13"/>
  <c r="N125" i="13"/>
  <c r="O125" i="13" s="1"/>
  <c r="I125" i="13"/>
  <c r="N124" i="13"/>
  <c r="O124" i="13" s="1"/>
  <c r="I124" i="13"/>
  <c r="N123" i="13"/>
  <c r="O123" i="13" s="1"/>
  <c r="I123" i="13"/>
  <c r="O119" i="13"/>
  <c r="N119" i="13"/>
  <c r="I119" i="13"/>
  <c r="N118" i="13"/>
  <c r="O118" i="13" s="1"/>
  <c r="I118" i="13"/>
  <c r="N117" i="13"/>
  <c r="I117" i="13"/>
  <c r="O117" i="13" s="1"/>
  <c r="N114" i="13"/>
  <c r="O114" i="13" s="1"/>
  <c r="I114" i="13"/>
  <c r="O113" i="13"/>
  <c r="N113" i="13"/>
  <c r="I113" i="13"/>
  <c r="N109" i="13"/>
  <c r="O109" i="13" s="1"/>
  <c r="I109" i="13"/>
  <c r="N108" i="13"/>
  <c r="O108" i="13" s="1"/>
  <c r="I108" i="13"/>
  <c r="N107" i="13"/>
  <c r="O107" i="13" s="1"/>
  <c r="I107" i="13"/>
  <c r="O105" i="13"/>
  <c r="N105" i="13"/>
  <c r="I105" i="13"/>
  <c r="N104" i="13"/>
  <c r="O104" i="13" s="1"/>
  <c r="I104" i="13"/>
  <c r="N102" i="13"/>
  <c r="I102" i="13"/>
  <c r="O102" i="13" s="1"/>
  <c r="N101" i="13"/>
  <c r="O101" i="13" s="1"/>
  <c r="I101" i="13"/>
  <c r="O96" i="13"/>
  <c r="N96" i="13"/>
  <c r="I96" i="13"/>
  <c r="N95" i="13"/>
  <c r="O95" i="13" s="1"/>
  <c r="I95" i="13"/>
  <c r="N94" i="13"/>
  <c r="O94" i="13" s="1"/>
  <c r="I94" i="13"/>
  <c r="N93" i="13"/>
  <c r="O93" i="13" s="1"/>
  <c r="I93" i="13"/>
  <c r="O92" i="13"/>
  <c r="N92" i="13"/>
  <c r="I92" i="13"/>
  <c r="N88" i="13"/>
  <c r="O88" i="13" s="1"/>
  <c r="I88" i="13"/>
  <c r="N86" i="13"/>
  <c r="I86" i="13"/>
  <c r="O86" i="13" s="1"/>
  <c r="N85" i="13"/>
  <c r="O85" i="13" s="1"/>
  <c r="I85" i="13"/>
  <c r="O84" i="13"/>
  <c r="N84" i="13"/>
  <c r="I84" i="13"/>
  <c r="N83" i="13"/>
  <c r="O83" i="13" s="1"/>
  <c r="I83" i="13"/>
  <c r="N82" i="13"/>
  <c r="O82" i="13" s="1"/>
  <c r="I82" i="13"/>
  <c r="N81" i="13"/>
  <c r="O81" i="13" s="1"/>
  <c r="I81" i="13"/>
  <c r="O80" i="13"/>
  <c r="N80" i="13"/>
  <c r="I80" i="13"/>
  <c r="N79" i="13"/>
  <c r="O79" i="13" s="1"/>
  <c r="I79" i="13"/>
  <c r="N74" i="13"/>
  <c r="I74" i="13"/>
  <c r="O74" i="13" s="1"/>
  <c r="N72" i="13"/>
  <c r="O72" i="13" s="1"/>
  <c r="I72" i="13"/>
  <c r="N71" i="13"/>
  <c r="O71" i="13" s="1"/>
  <c r="I71" i="13"/>
  <c r="N70" i="13"/>
  <c r="O70" i="13" s="1"/>
  <c r="I70" i="13"/>
  <c r="N67" i="13"/>
  <c r="O67" i="13" s="1"/>
  <c r="I67" i="13"/>
  <c r="N66" i="13"/>
  <c r="O66" i="13" s="1"/>
  <c r="I66" i="13"/>
  <c r="O65" i="13"/>
  <c r="N65" i="13"/>
  <c r="I65" i="13"/>
  <c r="N61" i="13"/>
  <c r="O61" i="13" s="1"/>
  <c r="I61" i="13"/>
  <c r="N60" i="13"/>
  <c r="I60" i="13"/>
  <c r="O60" i="13" s="1"/>
  <c r="N59" i="13"/>
  <c r="O59" i="13" s="1"/>
  <c r="I59" i="13"/>
  <c r="O58" i="13"/>
  <c r="N58" i="13"/>
  <c r="I58" i="13"/>
  <c r="N57" i="13"/>
  <c r="O57" i="13" s="1"/>
  <c r="I57" i="13"/>
  <c r="N56" i="13"/>
  <c r="O56" i="13" s="1"/>
  <c r="I56" i="13"/>
  <c r="N53" i="13"/>
  <c r="O53" i="13" s="1"/>
  <c r="I53" i="13"/>
  <c r="O52" i="13"/>
  <c r="N52" i="13"/>
  <c r="I52" i="13"/>
  <c r="N51" i="13"/>
  <c r="O51" i="13" s="1"/>
  <c r="I51" i="13"/>
  <c r="N50" i="13"/>
  <c r="I50" i="13"/>
  <c r="O50" i="13" s="1"/>
  <c r="N49" i="13"/>
  <c r="O49" i="13" s="1"/>
  <c r="I49" i="13"/>
  <c r="O48" i="13"/>
  <c r="N48" i="13"/>
  <c r="I48" i="13"/>
  <c r="N47" i="13"/>
  <c r="O47" i="13" s="1"/>
  <c r="I47" i="13"/>
  <c r="N46" i="13"/>
  <c r="O46" i="13" s="1"/>
  <c r="I46" i="13"/>
  <c r="N45" i="13"/>
  <c r="O45" i="13" s="1"/>
  <c r="I45" i="13"/>
  <c r="O44" i="13"/>
  <c r="N44" i="13"/>
  <c r="I44" i="13"/>
  <c r="N43" i="13"/>
  <c r="O43" i="13" s="1"/>
  <c r="I43" i="13"/>
  <c r="N42" i="13"/>
  <c r="I42" i="13"/>
  <c r="O42" i="13" s="1"/>
  <c r="N39" i="13"/>
  <c r="O39" i="13" s="1"/>
  <c r="I39" i="13"/>
  <c r="O38" i="13"/>
  <c r="N38" i="13"/>
  <c r="I38" i="13"/>
  <c r="N37" i="13"/>
  <c r="O37" i="13" s="1"/>
  <c r="I37" i="13"/>
  <c r="N36" i="13"/>
  <c r="O36" i="13" s="1"/>
  <c r="I36" i="13"/>
  <c r="N35" i="13"/>
  <c r="O35" i="13" s="1"/>
  <c r="I35" i="13"/>
  <c r="O34" i="13"/>
  <c r="N34" i="13"/>
  <c r="I34" i="13"/>
  <c r="N33" i="13"/>
  <c r="O33" i="13" s="1"/>
  <c r="I33" i="13"/>
  <c r="N32" i="13"/>
  <c r="I32" i="13"/>
  <c r="O32" i="13" s="1"/>
  <c r="N27" i="13"/>
  <c r="O27" i="13" s="1"/>
  <c r="I27" i="13"/>
  <c r="N26" i="13"/>
  <c r="O26" i="13" s="1"/>
  <c r="I26" i="13"/>
  <c r="N25" i="13"/>
  <c r="O25" i="13" s="1"/>
  <c r="I25" i="13"/>
  <c r="N24" i="13"/>
  <c r="O24" i="13" s="1"/>
  <c r="I24" i="13"/>
  <c r="N21" i="13"/>
  <c r="O21" i="13" s="1"/>
  <c r="I21" i="13"/>
  <c r="N19" i="13"/>
  <c r="O19" i="13" s="1"/>
  <c r="I19" i="13"/>
  <c r="N134" i="12"/>
  <c r="O134" i="12" s="1"/>
  <c r="I134" i="12"/>
  <c r="O133" i="12"/>
  <c r="N133" i="12"/>
  <c r="I133" i="12"/>
  <c r="N132" i="12"/>
  <c r="O132" i="12" s="1"/>
  <c r="I132" i="12"/>
  <c r="N128" i="12"/>
  <c r="O128" i="12" s="1"/>
  <c r="I128" i="12"/>
  <c r="N127" i="12"/>
  <c r="O127" i="12" s="1"/>
  <c r="I127" i="12"/>
  <c r="N126" i="12"/>
  <c r="O126" i="12" s="1"/>
  <c r="I126" i="12"/>
  <c r="N125" i="12"/>
  <c r="O125" i="12" s="1"/>
  <c r="I125" i="12"/>
  <c r="N124" i="12"/>
  <c r="O124" i="12" s="1"/>
  <c r="I124" i="12"/>
  <c r="N123" i="12"/>
  <c r="O123" i="12" s="1"/>
  <c r="I123" i="12"/>
  <c r="O119" i="12"/>
  <c r="N119" i="12"/>
  <c r="I119" i="12"/>
  <c r="N118" i="12"/>
  <c r="O118" i="12" s="1"/>
  <c r="I118" i="12"/>
  <c r="N117" i="12"/>
  <c r="O117" i="12" s="1"/>
  <c r="I117" i="12"/>
  <c r="N114" i="12"/>
  <c r="O114" i="12" s="1"/>
  <c r="I114" i="12"/>
  <c r="N113" i="12"/>
  <c r="O113" i="12" s="1"/>
  <c r="I113" i="12"/>
  <c r="N109" i="12"/>
  <c r="O109" i="12" s="1"/>
  <c r="I109" i="12"/>
  <c r="N108" i="12"/>
  <c r="O108" i="12" s="1"/>
  <c r="I108" i="12"/>
  <c r="N107" i="12"/>
  <c r="O107" i="12" s="1"/>
  <c r="I107" i="12"/>
  <c r="O105" i="12"/>
  <c r="N105" i="12"/>
  <c r="I105" i="12"/>
  <c r="N104" i="12"/>
  <c r="O104" i="12" s="1"/>
  <c r="I104" i="12"/>
  <c r="N102" i="12"/>
  <c r="O102" i="12" s="1"/>
  <c r="I102" i="12"/>
  <c r="N101" i="12"/>
  <c r="O101" i="12" s="1"/>
  <c r="I101" i="12"/>
  <c r="N96" i="12"/>
  <c r="O96" i="12" s="1"/>
  <c r="I96" i="12"/>
  <c r="N95" i="12"/>
  <c r="O95" i="12" s="1"/>
  <c r="I95" i="12"/>
  <c r="N94" i="12"/>
  <c r="O94" i="12" s="1"/>
  <c r="I94" i="12"/>
  <c r="N93" i="12"/>
  <c r="O93" i="12" s="1"/>
  <c r="I93" i="12"/>
  <c r="O92" i="12"/>
  <c r="N92" i="12"/>
  <c r="I92" i="12"/>
  <c r="N88" i="12"/>
  <c r="O88" i="12" s="1"/>
  <c r="I88" i="12"/>
  <c r="N86" i="12"/>
  <c r="O86" i="12" s="1"/>
  <c r="I86" i="12"/>
  <c r="N85" i="12"/>
  <c r="O85" i="12" s="1"/>
  <c r="I85" i="12"/>
  <c r="N84" i="12"/>
  <c r="O84" i="12" s="1"/>
  <c r="I84" i="12"/>
  <c r="N83" i="12"/>
  <c r="O83" i="12" s="1"/>
  <c r="I83" i="12"/>
  <c r="N82" i="12"/>
  <c r="O82" i="12" s="1"/>
  <c r="I82" i="12"/>
  <c r="N81" i="12"/>
  <c r="O81" i="12" s="1"/>
  <c r="I81" i="12"/>
  <c r="O80" i="12"/>
  <c r="N80" i="12"/>
  <c r="I80" i="12"/>
  <c r="N79" i="12"/>
  <c r="O79" i="12" s="1"/>
  <c r="I79" i="12"/>
  <c r="N74" i="12"/>
  <c r="O74" i="12" s="1"/>
  <c r="I74" i="12"/>
  <c r="N72" i="12"/>
  <c r="O72" i="12" s="1"/>
  <c r="I72" i="12"/>
  <c r="N71" i="12"/>
  <c r="O71" i="12" s="1"/>
  <c r="I71" i="12"/>
  <c r="N70" i="12"/>
  <c r="O70" i="12" s="1"/>
  <c r="I70" i="12"/>
  <c r="N67" i="12"/>
  <c r="O67" i="12" s="1"/>
  <c r="I67" i="12"/>
  <c r="N66" i="12"/>
  <c r="O66" i="12" s="1"/>
  <c r="I66" i="12"/>
  <c r="O65" i="12"/>
  <c r="N65" i="12"/>
  <c r="I65" i="12"/>
  <c r="N61" i="12"/>
  <c r="O61" i="12" s="1"/>
  <c r="I61" i="12"/>
  <c r="N60" i="12"/>
  <c r="O60" i="12" s="1"/>
  <c r="I60" i="12"/>
  <c r="N59" i="12"/>
  <c r="O59" i="12" s="1"/>
  <c r="I59" i="12"/>
  <c r="N58" i="12"/>
  <c r="O58" i="12" s="1"/>
  <c r="I58" i="12"/>
  <c r="N57" i="12"/>
  <c r="O57" i="12" s="1"/>
  <c r="I57" i="12"/>
  <c r="N56" i="12"/>
  <c r="O56" i="12" s="1"/>
  <c r="I56" i="12"/>
  <c r="N53" i="12"/>
  <c r="O53" i="12" s="1"/>
  <c r="I53" i="12"/>
  <c r="O52" i="12"/>
  <c r="N52" i="12"/>
  <c r="I52" i="12"/>
  <c r="N51" i="12"/>
  <c r="O51" i="12" s="1"/>
  <c r="I51" i="12"/>
  <c r="N50" i="12"/>
  <c r="O50" i="12" s="1"/>
  <c r="I50" i="12"/>
  <c r="N49" i="12"/>
  <c r="O49" i="12" s="1"/>
  <c r="I49" i="12"/>
  <c r="N48" i="12"/>
  <c r="O48" i="12" s="1"/>
  <c r="I48" i="12"/>
  <c r="N47" i="12"/>
  <c r="O47" i="12" s="1"/>
  <c r="I47" i="12"/>
  <c r="N46" i="12"/>
  <c r="O46" i="12" s="1"/>
  <c r="I46" i="12"/>
  <c r="N45" i="12"/>
  <c r="O45" i="12" s="1"/>
  <c r="I45" i="12"/>
  <c r="O44" i="12"/>
  <c r="N44" i="12"/>
  <c r="I44" i="12"/>
  <c r="N43" i="12"/>
  <c r="O43" i="12" s="1"/>
  <c r="I43" i="12"/>
  <c r="N42" i="12"/>
  <c r="O42" i="12" s="1"/>
  <c r="I42" i="12"/>
  <c r="N39" i="12"/>
  <c r="O39" i="12" s="1"/>
  <c r="I39" i="12"/>
  <c r="N38" i="12"/>
  <c r="O38" i="12" s="1"/>
  <c r="I38" i="12"/>
  <c r="N37" i="12"/>
  <c r="O37" i="12" s="1"/>
  <c r="I37" i="12"/>
  <c r="N36" i="12"/>
  <c r="O36" i="12" s="1"/>
  <c r="I36" i="12"/>
  <c r="N35" i="12"/>
  <c r="O35" i="12" s="1"/>
  <c r="I35" i="12"/>
  <c r="O34" i="12"/>
  <c r="N34" i="12"/>
  <c r="I34" i="12"/>
  <c r="N33" i="12"/>
  <c r="O33" i="12" s="1"/>
  <c r="I33" i="12"/>
  <c r="N32" i="12"/>
  <c r="O32" i="12" s="1"/>
  <c r="I32" i="12"/>
  <c r="N27" i="12"/>
  <c r="O27" i="12" s="1"/>
  <c r="I27" i="12"/>
  <c r="N26" i="12"/>
  <c r="O26" i="12" s="1"/>
  <c r="I26" i="12"/>
  <c r="N25" i="12"/>
  <c r="O25" i="12" s="1"/>
  <c r="I25" i="12"/>
  <c r="N24" i="12"/>
  <c r="O24" i="12" s="1"/>
  <c r="I24" i="12"/>
  <c r="N21" i="12"/>
  <c r="O21" i="12" s="1"/>
  <c r="I21" i="12"/>
  <c r="N19" i="12"/>
  <c r="I19" i="12"/>
  <c r="N30" i="11"/>
  <c r="I30" i="11"/>
  <c r="N29" i="11"/>
  <c r="I29" i="11"/>
  <c r="N28" i="11"/>
  <c r="I28" i="11"/>
  <c r="N24" i="11"/>
  <c r="I24" i="11"/>
  <c r="O24" i="11" s="1"/>
  <c r="N23" i="11"/>
  <c r="I23" i="11"/>
  <c r="N22" i="11"/>
  <c r="I22" i="11"/>
  <c r="N21" i="11"/>
  <c r="I21" i="11"/>
  <c r="N20" i="11"/>
  <c r="I20" i="11"/>
  <c r="N19" i="11"/>
  <c r="I19" i="11"/>
  <c r="N38" i="10"/>
  <c r="I38" i="10"/>
  <c r="N37" i="10"/>
  <c r="I37" i="10"/>
  <c r="N36" i="10"/>
  <c r="I36" i="10"/>
  <c r="N33" i="10"/>
  <c r="I33" i="10"/>
  <c r="N32" i="10"/>
  <c r="I32" i="10"/>
  <c r="N28" i="10"/>
  <c r="I28" i="10"/>
  <c r="N27" i="10"/>
  <c r="I27" i="10"/>
  <c r="N26" i="10"/>
  <c r="I26" i="10"/>
  <c r="O26" i="10" s="1"/>
  <c r="N24" i="10"/>
  <c r="I24" i="10"/>
  <c r="N23" i="10"/>
  <c r="I23" i="10"/>
  <c r="N21" i="10"/>
  <c r="I21" i="10"/>
  <c r="N20" i="10"/>
  <c r="I20" i="10"/>
  <c r="N37" i="9"/>
  <c r="I37" i="9"/>
  <c r="N36" i="9"/>
  <c r="I36" i="9"/>
  <c r="N35" i="9"/>
  <c r="I35" i="9"/>
  <c r="N34" i="9"/>
  <c r="I34" i="9"/>
  <c r="N33" i="9"/>
  <c r="I33" i="9"/>
  <c r="N29" i="9"/>
  <c r="I29" i="9"/>
  <c r="N27" i="9"/>
  <c r="I27" i="9"/>
  <c r="N26" i="9"/>
  <c r="I26" i="9"/>
  <c r="N25" i="9"/>
  <c r="I25" i="9"/>
  <c r="O25" i="9" s="1"/>
  <c r="N24" i="9"/>
  <c r="I24" i="9"/>
  <c r="N23" i="9"/>
  <c r="I23" i="9"/>
  <c r="N22" i="9"/>
  <c r="O22" i="9" s="1"/>
  <c r="I22" i="9"/>
  <c r="N21" i="9"/>
  <c r="I21" i="9"/>
  <c r="N20" i="9"/>
  <c r="I20" i="9"/>
  <c r="N62" i="8"/>
  <c r="I62" i="8"/>
  <c r="N60" i="8"/>
  <c r="I60" i="8"/>
  <c r="N59" i="8"/>
  <c r="I59" i="8"/>
  <c r="N58" i="8"/>
  <c r="I58" i="8"/>
  <c r="N55" i="8"/>
  <c r="I55" i="8"/>
  <c r="N54" i="8"/>
  <c r="I54" i="8"/>
  <c r="N53" i="8"/>
  <c r="I53" i="8"/>
  <c r="N49" i="8"/>
  <c r="I49" i="8"/>
  <c r="N48" i="8"/>
  <c r="I48" i="8"/>
  <c r="N47" i="8"/>
  <c r="I47" i="8"/>
  <c r="N46" i="8"/>
  <c r="I46" i="8"/>
  <c r="N45" i="8"/>
  <c r="I45" i="8"/>
  <c r="N44" i="8"/>
  <c r="I44" i="8"/>
  <c r="N41" i="8"/>
  <c r="I41" i="8"/>
  <c r="N40" i="8"/>
  <c r="I40" i="8"/>
  <c r="N39" i="8"/>
  <c r="I39" i="8"/>
  <c r="N38" i="8"/>
  <c r="I38" i="8"/>
  <c r="N37" i="8"/>
  <c r="I37" i="8"/>
  <c r="N36" i="8"/>
  <c r="O36" i="8" s="1"/>
  <c r="I36" i="8"/>
  <c r="N35" i="8"/>
  <c r="I35" i="8"/>
  <c r="N34" i="8"/>
  <c r="I34" i="8"/>
  <c r="N33" i="8"/>
  <c r="I33" i="8"/>
  <c r="N32" i="8"/>
  <c r="I32" i="8"/>
  <c r="N31" i="8"/>
  <c r="I31" i="8"/>
  <c r="N30" i="8"/>
  <c r="I30" i="8"/>
  <c r="N27" i="8"/>
  <c r="I27" i="8"/>
  <c r="N26" i="8"/>
  <c r="O26" i="8" s="1"/>
  <c r="I26" i="8"/>
  <c r="N25" i="8"/>
  <c r="I25" i="8"/>
  <c r="N24" i="8"/>
  <c r="I24" i="8"/>
  <c r="N23" i="8"/>
  <c r="I23" i="8"/>
  <c r="N22" i="8"/>
  <c r="I22" i="8"/>
  <c r="N21" i="8"/>
  <c r="I21" i="8"/>
  <c r="N20" i="8"/>
  <c r="I20" i="8"/>
  <c r="N27" i="7"/>
  <c r="O27" i="7" s="1"/>
  <c r="I27" i="7"/>
  <c r="N26" i="7"/>
  <c r="I26" i="7"/>
  <c r="N25" i="7"/>
  <c r="I25" i="7"/>
  <c r="N24" i="7"/>
  <c r="I24" i="7"/>
  <c r="N21" i="7"/>
  <c r="O21" i="7" s="1"/>
  <c r="I21" i="7"/>
  <c r="N19" i="7"/>
  <c r="I19" i="7"/>
  <c r="N134" i="5"/>
  <c r="O134" i="5" s="1"/>
  <c r="I134" i="5"/>
  <c r="N133" i="5"/>
  <c r="O133" i="5" s="1"/>
  <c r="I133" i="5"/>
  <c r="N132" i="5"/>
  <c r="O132" i="5" s="1"/>
  <c r="I132" i="5"/>
  <c r="N125" i="5"/>
  <c r="N126" i="5"/>
  <c r="N127" i="5"/>
  <c r="N128" i="5"/>
  <c r="I126" i="5"/>
  <c r="I127" i="5"/>
  <c r="I128" i="5"/>
  <c r="I125" i="5"/>
  <c r="N124" i="5"/>
  <c r="N123" i="5"/>
  <c r="I124" i="5"/>
  <c r="I123" i="5"/>
  <c r="N118" i="5"/>
  <c r="N119" i="5"/>
  <c r="N117" i="5"/>
  <c r="I118" i="5"/>
  <c r="I119" i="5"/>
  <c r="I117" i="5"/>
  <c r="N114" i="5"/>
  <c r="N113" i="5"/>
  <c r="I114" i="5"/>
  <c r="I113" i="5"/>
  <c r="N108" i="5"/>
  <c r="N109" i="5"/>
  <c r="N107" i="5"/>
  <c r="I108" i="5"/>
  <c r="I109" i="5"/>
  <c r="I107" i="5"/>
  <c r="N105" i="5"/>
  <c r="N104" i="5"/>
  <c r="I105" i="5"/>
  <c r="I104" i="5"/>
  <c r="N102" i="5"/>
  <c r="N101" i="5"/>
  <c r="I102" i="5"/>
  <c r="O102" i="5" s="1"/>
  <c r="I101" i="5"/>
  <c r="O101" i="5" s="1"/>
  <c r="N93" i="5"/>
  <c r="N94" i="5"/>
  <c r="N95" i="5"/>
  <c r="N96" i="5"/>
  <c r="N92" i="5"/>
  <c r="I93" i="5"/>
  <c r="I94" i="5"/>
  <c r="I95" i="5"/>
  <c r="I96" i="5"/>
  <c r="I92" i="5"/>
  <c r="N88" i="5"/>
  <c r="I88" i="5"/>
  <c r="N80" i="5"/>
  <c r="N81" i="5"/>
  <c r="N82" i="5"/>
  <c r="N83" i="5"/>
  <c r="N84" i="5"/>
  <c r="N85" i="5"/>
  <c r="O85" i="5" s="1"/>
  <c r="N86" i="5"/>
  <c r="N79" i="5"/>
  <c r="I80" i="5"/>
  <c r="I81" i="5"/>
  <c r="I82" i="5"/>
  <c r="I83" i="5"/>
  <c r="I84" i="5"/>
  <c r="I85" i="5"/>
  <c r="I86" i="5"/>
  <c r="I79" i="5"/>
  <c r="I27" i="5"/>
  <c r="N25" i="5"/>
  <c r="N26" i="5"/>
  <c r="I26" i="5"/>
  <c r="I25" i="5"/>
  <c r="I24" i="5"/>
  <c r="N21" i="5"/>
  <c r="N19" i="5"/>
  <c r="I21" i="5"/>
  <c r="I19" i="5"/>
  <c r="N27" i="5"/>
  <c r="O27" i="5" s="1"/>
  <c r="N24" i="5"/>
  <c r="N33" i="5"/>
  <c r="N34" i="5"/>
  <c r="N35" i="5"/>
  <c r="N36" i="5"/>
  <c r="N37" i="5"/>
  <c r="N38" i="5"/>
  <c r="N39" i="5"/>
  <c r="N32" i="5"/>
  <c r="N43" i="5"/>
  <c r="N44" i="5"/>
  <c r="N45" i="5"/>
  <c r="N46" i="5"/>
  <c r="N47" i="5"/>
  <c r="N48" i="5"/>
  <c r="N49" i="5"/>
  <c r="N50" i="5"/>
  <c r="N51" i="5"/>
  <c r="N52" i="5"/>
  <c r="N53" i="5"/>
  <c r="N42" i="5"/>
  <c r="I43" i="5"/>
  <c r="I44" i="5"/>
  <c r="I45" i="5"/>
  <c r="I46" i="5"/>
  <c r="I47" i="5"/>
  <c r="I48" i="5"/>
  <c r="I49" i="5"/>
  <c r="I50" i="5"/>
  <c r="I51" i="5"/>
  <c r="I52" i="5"/>
  <c r="I53" i="5"/>
  <c r="I42" i="5"/>
  <c r="N57" i="5"/>
  <c r="N58" i="5"/>
  <c r="N59" i="5"/>
  <c r="N60" i="5"/>
  <c r="N61" i="5"/>
  <c r="N56" i="5"/>
  <c r="N67" i="5"/>
  <c r="N66" i="5"/>
  <c r="N65" i="5"/>
  <c r="N74" i="5"/>
  <c r="N71" i="5"/>
  <c r="N72" i="5"/>
  <c r="N70" i="5"/>
  <c r="I74" i="5"/>
  <c r="I71" i="5"/>
  <c r="I72" i="5"/>
  <c r="I70" i="5"/>
  <c r="I67" i="5"/>
  <c r="I66" i="5"/>
  <c r="I65" i="5"/>
  <c r="I57" i="5"/>
  <c r="I58" i="5"/>
  <c r="I59" i="5"/>
  <c r="I60" i="5"/>
  <c r="I61" i="5"/>
  <c r="I56" i="5"/>
  <c r="I33" i="5"/>
  <c r="I34" i="5"/>
  <c r="I35" i="5"/>
  <c r="I36" i="5"/>
  <c r="I37" i="5"/>
  <c r="I38" i="5"/>
  <c r="O38" i="5" s="1"/>
  <c r="I39" i="5"/>
  <c r="I32" i="5"/>
  <c r="N59" i="2" l="1"/>
  <c r="O59" i="2" s="1"/>
  <c r="B16" i="81"/>
  <c r="N123" i="2" s="1"/>
  <c r="O123" i="2" s="1"/>
  <c r="B6" i="52"/>
  <c r="B16" i="48"/>
  <c r="B16" i="64"/>
  <c r="N101" i="2" s="1"/>
  <c r="O101" i="2" s="1"/>
  <c r="B16" i="65"/>
  <c r="N102" i="2" s="1"/>
  <c r="O102" i="2" s="1"/>
  <c r="B16" i="46"/>
  <c r="N64" i="2" s="1"/>
  <c r="O64" i="2" s="1"/>
  <c r="B16" i="47"/>
  <c r="N65" i="2" s="1"/>
  <c r="O65" i="2" s="1"/>
  <c r="B16" i="28"/>
  <c r="B16" i="55"/>
  <c r="B16" i="63"/>
  <c r="N100" i="2" s="1"/>
  <c r="O100" i="2" s="1"/>
  <c r="B16" i="25"/>
  <c r="O19" i="12"/>
  <c r="B16" i="27"/>
  <c r="B16" i="58"/>
  <c r="B16" i="54"/>
  <c r="N120" i="2" s="1"/>
  <c r="O120" i="2" s="1"/>
  <c r="B16" i="52"/>
  <c r="N118" i="2" s="1"/>
  <c r="O118" i="2" s="1"/>
  <c r="B16" i="50"/>
  <c r="B16" i="57"/>
  <c r="O128" i="17"/>
  <c r="B16" i="53"/>
  <c r="N119" i="2" s="1"/>
  <c r="O119" i="2" s="1"/>
  <c r="B16" i="26"/>
  <c r="B16" i="29"/>
  <c r="O125" i="15"/>
  <c r="B16" i="51"/>
  <c r="O117" i="2" s="1"/>
  <c r="O70" i="15"/>
  <c r="B16" i="75"/>
  <c r="B16" i="69"/>
  <c r="B16" i="61"/>
  <c r="B16" i="56"/>
  <c r="O19" i="18"/>
  <c r="O20" i="11"/>
  <c r="O22" i="11"/>
  <c r="O23" i="11"/>
  <c r="O30" i="11"/>
  <c r="O28" i="11"/>
  <c r="O29" i="11"/>
  <c r="O19" i="11"/>
  <c r="O21" i="11"/>
  <c r="O32" i="10"/>
  <c r="O33" i="10"/>
  <c r="O24" i="10"/>
  <c r="O40" i="8"/>
  <c r="O59" i="8"/>
  <c r="O33" i="8"/>
  <c r="O54" i="8"/>
  <c r="O20" i="8"/>
  <c r="O62" i="8"/>
  <c r="O46" i="8"/>
  <c r="O23" i="8"/>
  <c r="O27" i="8"/>
  <c r="O41" i="8"/>
  <c r="O49" i="8"/>
  <c r="O37" i="9"/>
  <c r="O34" i="9"/>
  <c r="O33" i="9"/>
  <c r="O21" i="10"/>
  <c r="O36" i="10"/>
  <c r="O23" i="10"/>
  <c r="O28" i="10"/>
  <c r="O37" i="10"/>
  <c r="O27" i="10"/>
  <c r="O38" i="10"/>
  <c r="O20" i="10"/>
  <c r="O26" i="9"/>
  <c r="O20" i="9"/>
  <c r="O35" i="9"/>
  <c r="O21" i="9"/>
  <c r="O36" i="9"/>
  <c r="O23" i="9"/>
  <c r="O27" i="9"/>
  <c r="O24" i="9"/>
  <c r="O29" i="9"/>
  <c r="O24" i="8"/>
  <c r="O58" i="8"/>
  <c r="O21" i="8"/>
  <c r="O30" i="8"/>
  <c r="O37" i="8"/>
  <c r="O53" i="8"/>
  <c r="O25" i="8"/>
  <c r="O34" i="8"/>
  <c r="O22" i="8"/>
  <c r="O31" i="8"/>
  <c r="O38" i="8"/>
  <c r="O47" i="8"/>
  <c r="O35" i="8"/>
  <c r="O44" i="8"/>
  <c r="O32" i="8"/>
  <c r="O39" i="8"/>
  <c r="O48" i="8"/>
  <c r="O60" i="8"/>
  <c r="O45" i="8"/>
  <c r="O55" i="8"/>
  <c r="O25" i="7"/>
  <c r="O24" i="7"/>
  <c r="O19" i="7"/>
  <c r="O26" i="7"/>
  <c r="O37" i="5"/>
  <c r="O82" i="5"/>
  <c r="O42" i="5"/>
  <c r="O36" i="5"/>
  <c r="O19" i="5"/>
  <c r="O79" i="5"/>
  <c r="O59" i="5"/>
  <c r="O35" i="5"/>
  <c r="O21" i="5"/>
  <c r="O86" i="5"/>
  <c r="O88" i="5"/>
  <c r="O117" i="5"/>
  <c r="O83" i="5"/>
  <c r="O56" i="5"/>
  <c r="O74" i="5"/>
  <c r="O48" i="5"/>
  <c r="O52" i="5"/>
  <c r="O44" i="5"/>
  <c r="O94" i="5"/>
  <c r="O119" i="5"/>
  <c r="O61" i="5"/>
  <c r="O70" i="5"/>
  <c r="O57" i="5"/>
  <c r="O47" i="5"/>
  <c r="O51" i="5"/>
  <c r="O43" i="5"/>
  <c r="O25" i="5"/>
  <c r="O84" i="5"/>
  <c r="O93" i="5"/>
  <c r="O114" i="5"/>
  <c r="O34" i="5"/>
  <c r="O104" i="5"/>
  <c r="O65" i="5"/>
  <c r="O33" i="5"/>
  <c r="O60" i="5"/>
  <c r="O66" i="5"/>
  <c r="O50" i="5"/>
  <c r="O32" i="5"/>
  <c r="O95" i="5"/>
  <c r="O113" i="5"/>
  <c r="O67" i="5"/>
  <c r="O45" i="5"/>
  <c r="O39" i="5"/>
  <c r="O26" i="5"/>
  <c r="O127" i="5"/>
  <c r="O81" i="5"/>
  <c r="O108" i="5"/>
  <c r="O123" i="5"/>
  <c r="O126" i="5"/>
  <c r="O96" i="5"/>
  <c r="O105" i="5"/>
  <c r="O118" i="5"/>
  <c r="O72" i="5"/>
  <c r="O46" i="5"/>
  <c r="O24" i="5"/>
  <c r="O128" i="5"/>
  <c r="O71" i="5"/>
  <c r="O53" i="5"/>
  <c r="O49" i="5"/>
  <c r="O109" i="5"/>
  <c r="O80" i="5"/>
  <c r="O92" i="5"/>
  <c r="O107" i="5"/>
  <c r="O124" i="5"/>
  <c r="O125" i="5"/>
  <c r="O58" i="5"/>
  <c r="I123" i="2"/>
  <c r="N57" i="2" l="1"/>
  <c r="O57" i="2" s="1"/>
  <c r="I86" i="2"/>
  <c r="O86" i="2" s="1"/>
  <c r="I87" i="2"/>
  <c r="O87" i="2" s="1"/>
  <c r="O88" i="2"/>
  <c r="I85" i="2"/>
  <c r="O85" i="2" s="1"/>
  <c r="I68" i="2"/>
  <c r="O68" i="2" s="1"/>
  <c r="I66" i="2"/>
  <c r="I65" i="2"/>
  <c r="I61" i="2"/>
  <c r="I64" i="2"/>
  <c r="I59" i="2"/>
  <c r="I57" i="2"/>
  <c r="I26" i="2"/>
  <c r="O26" i="2" s="1"/>
  <c r="I27" i="2"/>
  <c r="O27" i="2" s="1"/>
  <c r="I25" i="2"/>
</calcChain>
</file>

<file path=xl/sharedStrings.xml><?xml version="1.0" encoding="utf-8"?>
<sst xmlns="http://schemas.openxmlformats.org/spreadsheetml/2006/main" count="3282" uniqueCount="231">
  <si>
    <t>BAR No. 1</t>
  </si>
  <si>
    <t>QUARTERLY PHYSICAL REPORT OF OPERATION</t>
  </si>
  <si>
    <t>Particulars</t>
  </si>
  <si>
    <t>UACS Code</t>
  </si>
  <si>
    <t>Physical Targets</t>
  </si>
  <si>
    <t>1st Quarter</t>
  </si>
  <si>
    <t>2nd Quarter</t>
  </si>
  <si>
    <t>3rd Quarter</t>
  </si>
  <si>
    <t>4th Quarter</t>
  </si>
  <si>
    <t>Total</t>
  </si>
  <si>
    <t>Physical Accomplishments</t>
  </si>
  <si>
    <t>Remarks</t>
  </si>
  <si>
    <t>Current Year Appropriations</t>
  </si>
  <si>
    <t>Date:</t>
  </si>
  <si>
    <t>Approved by:</t>
  </si>
  <si>
    <t>Department</t>
  </si>
  <si>
    <t>Agency</t>
  </si>
  <si>
    <t>Operating Unit</t>
  </si>
  <si>
    <t>Organization Code (UACS)</t>
  </si>
  <si>
    <t>:</t>
  </si>
  <si>
    <t>Variance as of _________</t>
  </si>
  <si>
    <t>7=(3+4+5+6)</t>
  </si>
  <si>
    <t>12=(8+9+10+11)</t>
  </si>
  <si>
    <t xml:space="preserve">                   Outcome Indicators</t>
  </si>
  <si>
    <t xml:space="preserve">                   Output Indicators</t>
  </si>
  <si>
    <t xml:space="preserve">                       a. Elementary</t>
  </si>
  <si>
    <t xml:space="preserve">                       b. Junior High School</t>
  </si>
  <si>
    <t xml:space="preserve">                       c. Senior High School</t>
  </si>
  <si>
    <t xml:space="preserve">                       a. Hot Meals</t>
  </si>
  <si>
    <t xml:space="preserve">                       b. Milk</t>
  </si>
  <si>
    <t xml:space="preserve">                       a. Educational Service Contracting (ESC)</t>
  </si>
  <si>
    <t xml:space="preserve">                       b. Senior High School Voucher Program (SHSVP)</t>
  </si>
  <si>
    <t xml:space="preserve">                       c. Joint Delivery Voucher Program (JDVP)</t>
  </si>
  <si>
    <t>Regional Director</t>
  </si>
  <si>
    <t>Certified Correct:</t>
  </si>
  <si>
    <t>Recommending Approval by:</t>
  </si>
  <si>
    <t>Access of every Filipino to an enhanced basic education program enabling them to prepare for further education and the world of work achieved</t>
  </si>
  <si>
    <t xml:space="preserve"> EDUCATION POLICY DEVELOPMENT PROGRAM</t>
  </si>
  <si>
    <t xml:space="preserve">        Outcome Indicators</t>
  </si>
  <si>
    <t xml:space="preserve">         Output Indicators</t>
  </si>
  <si>
    <t xml:space="preserve"> EDUCATION HUMAN RESOURCE DEVELOPMENT PROGRAM</t>
  </si>
  <si>
    <t>SUPPORT TO SCHOOLS AND LEARNERS PROGRAM</t>
  </si>
  <si>
    <t>INCLUSIVE EDUCATION PROGRAM</t>
  </si>
  <si>
    <t>1. Percentage of completed education researches used for policy development</t>
  </si>
  <si>
    <t>2. Percentage of satisfactory feedback from clients on issued policies</t>
  </si>
  <si>
    <t>Number of proposed research approved (BERF)</t>
  </si>
  <si>
    <t xml:space="preserve">  2. Percentage of public schools meeting the standard ratio for classrooms</t>
  </si>
  <si>
    <t xml:space="preserve">  BASIC EDUCATION INPUTS PROGRAM</t>
  </si>
  <si>
    <t xml:space="preserve">  Outcome Indicators</t>
  </si>
  <si>
    <t>1. Percentage of public schools meeting the standard ratio for teachers</t>
  </si>
  <si>
    <t>b. Senior High School</t>
  </si>
  <si>
    <t>a. Grades 1-10</t>
  </si>
  <si>
    <t>3. Percentage of public schools provided with Information and Communications Technology (ICT) package</t>
  </si>
  <si>
    <t>2. Number of education researches completed</t>
  </si>
  <si>
    <t>3. Number of proposed policies reviewed</t>
  </si>
  <si>
    <t>1. Number of policies reviewed</t>
  </si>
  <si>
    <t>a. Elementary</t>
  </si>
  <si>
    <t>b. Junior High School</t>
  </si>
  <si>
    <t>c. Senior High School</t>
  </si>
  <si>
    <t>Output Indicators</t>
  </si>
  <si>
    <t>As of March 2025</t>
  </si>
  <si>
    <t>Department of Education</t>
  </si>
  <si>
    <t>Office of the Secretary</t>
  </si>
  <si>
    <t>Regional Office XIII</t>
  </si>
  <si>
    <t>07 001 0300016</t>
  </si>
  <si>
    <t>3. Percentage of reported errors in learning resources addressed</t>
  </si>
  <si>
    <t>c. Textbooks and instructional/ learning materials  procured for printing and delivery</t>
  </si>
  <si>
    <t>1. Number of</t>
  </si>
  <si>
    <t>a. New classrooms constructed</t>
  </si>
  <si>
    <t>b. New classrooms on-going construction</t>
  </si>
  <si>
    <t>2. Number of equipment/ tools procured for distribution:</t>
  </si>
  <si>
    <t>b. Technical-Vocational-Livelihood</t>
  </si>
  <si>
    <t>c. ICT</t>
  </si>
  <si>
    <t>3. Number of newly-created teaching positions filled up</t>
  </si>
  <si>
    <t>a. Science and Math</t>
  </si>
  <si>
    <t xml:space="preserve">                        </t>
  </si>
  <si>
    <t>b. Arabic Language Islamic Values Education (ALIVE) - public and private</t>
  </si>
  <si>
    <t>1. Percentage of learners enrolled in:</t>
  </si>
  <si>
    <t>a. Special Needs Education (SNED) - public</t>
  </si>
  <si>
    <t>c. Indigenous Peoples Education (IPED) - public</t>
  </si>
  <si>
    <t>2. Percentage of learners provided with learning resources</t>
  </si>
  <si>
    <t>d. Alternative Learning System (ALS)</t>
  </si>
  <si>
    <t>1. Number of schools offering the following programs:</t>
  </si>
  <si>
    <t>a. ALIVE - public and private</t>
  </si>
  <si>
    <t>b. IPED - public</t>
  </si>
  <si>
    <t>c. SNED - public</t>
  </si>
  <si>
    <t>Outcome Indicators</t>
  </si>
  <si>
    <t>1. Retention rate</t>
  </si>
  <si>
    <t>b. Secondary (Grades 7 to 12)</t>
  </si>
  <si>
    <t>2. Completion rate</t>
  </si>
  <si>
    <t>3. Proportion of Learners achieving at least nearly proficient in   National Achievement Test (NAT)</t>
  </si>
  <si>
    <t>a. Elementary (Grade 6)</t>
  </si>
  <si>
    <t>b. Junior High School (Grade 10)</t>
  </si>
  <si>
    <t>c. Senior High School (Grade 12)</t>
  </si>
  <si>
    <t>1. Number of learners benefitting from the School-Based Feeding Program</t>
  </si>
  <si>
    <t>2. Number of grantees:</t>
  </si>
  <si>
    <t>1. Increase in percentage of public schools conducting schools   learning action cell sessions</t>
  </si>
  <si>
    <t>1. Number of public school teachers and teaching-related staff trained</t>
  </si>
  <si>
    <t>b. JHS</t>
  </si>
  <si>
    <t>c. SHS</t>
  </si>
  <si>
    <t xml:space="preserve">Total Number of Schools </t>
  </si>
  <si>
    <t>Percentage of Public Schools conducting SLAC</t>
  </si>
  <si>
    <t>a. Purely Elementary School</t>
  </si>
  <si>
    <t>b. Purely Junior High School</t>
  </si>
  <si>
    <t>c. Purely Senior High School</t>
  </si>
  <si>
    <t>d. Integrated [ES+JHS (K-10)]</t>
  </si>
  <si>
    <t>e. Integrated [JHS+SHS (Grade 7-12)]</t>
  </si>
  <si>
    <t>TRA-based %</t>
  </si>
  <si>
    <t>(Actual No.)</t>
  </si>
  <si>
    <t>Percentage of Public Schools Conducting LAC</t>
  </si>
  <si>
    <t>Total Number of Schools</t>
  </si>
  <si>
    <t>f. Integrated [All Offering (K-12)]</t>
  </si>
  <si>
    <t>2. Number of public schools provided with learning resources</t>
  </si>
  <si>
    <t>a. Number of teachers trained</t>
  </si>
  <si>
    <t>b. Number of teaching-related personnel trained</t>
  </si>
  <si>
    <t>c. Number of non-teaching personnel trained</t>
  </si>
  <si>
    <t>SDO Xxxxxxxxxxx</t>
  </si>
  <si>
    <t>SDO Agusan del Norte</t>
  </si>
  <si>
    <t>SDO Agusan del Sur</t>
  </si>
  <si>
    <t>SDO Bayugan City</t>
  </si>
  <si>
    <t>SDO Bislig City</t>
  </si>
  <si>
    <t>SDO Butuan City</t>
  </si>
  <si>
    <t>SDO Cabadbaran City</t>
  </si>
  <si>
    <t>SDO Dinagat Islands</t>
  </si>
  <si>
    <t>SDO Siargao Islands</t>
  </si>
  <si>
    <t>SDO Surigao City</t>
  </si>
  <si>
    <t>SDO Surigao del Norte</t>
  </si>
  <si>
    <t>SDO Surigao del Sur</t>
  </si>
  <si>
    <t>SDO</t>
  </si>
  <si>
    <t>%</t>
  </si>
  <si>
    <t>Agusan del Norte</t>
  </si>
  <si>
    <t>Agusan del Sur</t>
  </si>
  <si>
    <t>Bayugan City</t>
  </si>
  <si>
    <t>Bislig City</t>
  </si>
  <si>
    <t>Butuan City</t>
  </si>
  <si>
    <t>Cabadbaran City</t>
  </si>
  <si>
    <t>Dinagat Islands</t>
  </si>
  <si>
    <t>Siargao</t>
  </si>
  <si>
    <t>Surigao City</t>
  </si>
  <si>
    <t>Surigao del Norte</t>
  </si>
  <si>
    <t>Surigao del Sur</t>
  </si>
  <si>
    <t>Tandag City</t>
  </si>
  <si>
    <t>TOTAL</t>
  </si>
  <si>
    <t>Percentage of satisfactory feedback from clients on issued policies</t>
  </si>
  <si>
    <t>Number of policies reviewed</t>
  </si>
  <si>
    <t>Number of education researches completed</t>
  </si>
  <si>
    <t>Number of proposed policies reviewed</t>
  </si>
  <si>
    <t>Percentage of public elementary schools meeting the standard ratio for teachers</t>
  </si>
  <si>
    <t>Percentage of public elementary schools meeting the standard ratio for teachers (TRA-based %)</t>
  </si>
  <si>
    <t>Actual No.</t>
  </si>
  <si>
    <t>Percentage of public JHS meeting the standard ratio for teachers</t>
  </si>
  <si>
    <t>Percentage of public SHS meeting the standard ratio for teachers</t>
  </si>
  <si>
    <t>Percentage of public schools meeting the standard ratio for classrooms (Purely ES)</t>
  </si>
  <si>
    <t>Percentage of public schools meeting the standard ratio for classrooms (Purely JHS)</t>
  </si>
  <si>
    <t>Percentage of public schools meeting the standard ratio for classrooms (Purely SHS)</t>
  </si>
  <si>
    <t>Percentage of public schools meeting the standard ratio for classrooms (ES+JHS)</t>
  </si>
  <si>
    <t>Percentage of public schools meeting the standard ratio for classrooms (JHS+SHS)</t>
  </si>
  <si>
    <t>Percentage of public schools meeting the standard ratio for classrooms (All Offering)</t>
  </si>
  <si>
    <t>Percentage of public elementary schools provided with Information and Communications Technology (ICT) package</t>
  </si>
  <si>
    <t>Percentage of public JHS provided with Information and Communications Technology (ICT) package</t>
  </si>
  <si>
    <t>Percentage of public SHS provided with Information and Communications Technology (ICT) package</t>
  </si>
  <si>
    <t>Number of new classrooms constructed</t>
  </si>
  <si>
    <t>Number of new classrooms on-going construction</t>
  </si>
  <si>
    <t>Number of Textbooks and instructional/ learning materials  procured for printing and delivery</t>
  </si>
  <si>
    <t>No.</t>
  </si>
  <si>
    <t>Number of Science and Math equipment/ tools procured for distribution:</t>
  </si>
  <si>
    <t>Number of Technical-Vocational-Livelihood equipment/ tools procured for distribution:</t>
  </si>
  <si>
    <t>Number of ICT equipment/ tools procured for distribution:</t>
  </si>
  <si>
    <t>Number of newly-created teaching positions filled up</t>
  </si>
  <si>
    <t>No. of newly-created teaching positions filled up</t>
  </si>
  <si>
    <t>-</t>
  </si>
  <si>
    <t>% Increase</t>
  </si>
  <si>
    <t>Increase in percentage of public schools conducting schools  learning action cell sessions</t>
  </si>
  <si>
    <t>Total Number of Elementary Schools</t>
  </si>
  <si>
    <t>Total Number of Junior High Schools</t>
  </si>
  <si>
    <t>Total Number of Senior High Schools</t>
  </si>
  <si>
    <t>Number of teachers trained</t>
  </si>
  <si>
    <t>Number of teaching-related personnel trained</t>
  </si>
  <si>
    <t>Number of non-teaching personnel trained</t>
  </si>
  <si>
    <t>Retention Rate (Elementary)</t>
  </si>
  <si>
    <t>Retention Rate (Secondary)</t>
  </si>
  <si>
    <t>Completion Rate (Elementary)</t>
  </si>
  <si>
    <t>Completion Rate (Secondary)</t>
  </si>
  <si>
    <t>Proportion of Learners achieving at least nearly proficient in  National Achievement Test (NAT) - Elementary</t>
  </si>
  <si>
    <t>Proportion of Learners achieving at least nearly proficient in  National Achievement Test (NAT) - JHS</t>
  </si>
  <si>
    <t>Proportion of Learners achieving at least nearly proficient in  National Achievement Test (NAT) - SHS</t>
  </si>
  <si>
    <t>Number of learners benefitting from the School-Based Feeding Program - Hot Meals</t>
  </si>
  <si>
    <t>No. of learners</t>
  </si>
  <si>
    <t>Number of learners benefitting from the School-Based Feeding Program - Milk</t>
  </si>
  <si>
    <t>Number of Grantees - Educational Service Contracting (ESC)</t>
  </si>
  <si>
    <t>No. of grantees</t>
  </si>
  <si>
    <t>Number of Grantees - Senior High School Voucher Program (SHSVP)</t>
  </si>
  <si>
    <t>Number of Grantees - Joint Delivery Voucher Program (JDVP)</t>
  </si>
  <si>
    <t>Percentage of learners enrolled in Special Needs Education (SNED) - public</t>
  </si>
  <si>
    <t>Percentage of learners enrolled in Arabic Language Islamic Values Education (ALIVE) - public and private</t>
  </si>
  <si>
    <t>Percentage of learners enrolled in Indigenous Peoples Education (IPED) - public</t>
  </si>
  <si>
    <t>Percentage of learners enrolled in Alternative Learning System (ALS)</t>
  </si>
  <si>
    <t>Percentage of learners provided with learning resources</t>
  </si>
  <si>
    <t>Number of schools offering ALIVE - public and private</t>
  </si>
  <si>
    <t>No. of schools</t>
  </si>
  <si>
    <t>Number of schools offering IPED - public</t>
  </si>
  <si>
    <t>Number of schools offering SNED - public</t>
  </si>
  <si>
    <t>Number of public schools provided with learning resources</t>
  </si>
  <si>
    <t>Percentage of reported errors in learning resources addressed</t>
  </si>
  <si>
    <t>NDA</t>
  </si>
  <si>
    <t>Number of public school teachers and teaching-related staff trained</t>
  </si>
  <si>
    <t>Number of personnel trained</t>
  </si>
  <si>
    <t>For completion in the 2nd quarter: Esperanza IS, IS (2STY6CL)
Sto. Nino ES, Hinatuan (1STY3CL)
Kinayan ES, Barobo (1STY3CL)
All are substantially completed and needing rectification of punchlisted item of works</t>
  </si>
  <si>
    <t>CO-managed item</t>
  </si>
  <si>
    <t>Based on LR/DMEA Report</t>
  </si>
  <si>
    <t>To be determined in the 3rd and 4th quarter</t>
  </si>
  <si>
    <t>still ongoing</t>
  </si>
  <si>
    <t>2 classrooms in Elem, 2 classrooms in Secondary</t>
  </si>
  <si>
    <t>10 classrooms are currently under construction across three schools, implemented by DPWH</t>
  </si>
  <si>
    <t>status from the BEFF allocation</t>
  </si>
  <si>
    <t>expected to be finished by 3rd quarter of the year</t>
  </si>
  <si>
    <t>None</t>
  </si>
  <si>
    <t>4 CL on-going construction @ Taglibas ES under Last Mile Schools (LMS), and 2 CL on-going construction @ Magkiangkang NHS under BEFF.</t>
  </si>
  <si>
    <t>MARLYNE M. VILLAREAL</t>
  </si>
  <si>
    <t>Chief ES, QAD</t>
  </si>
  <si>
    <t>MARIA INES C. ASUNCION</t>
  </si>
  <si>
    <t>a.1. Number of teachers trained</t>
  </si>
  <si>
    <t>a.2. Number of teaching-related personnel trained</t>
  </si>
  <si>
    <t>b. Number of non-teaching personnel trained</t>
  </si>
  <si>
    <t>Assistant Regional Director</t>
  </si>
  <si>
    <t xml:space="preserve">Date: </t>
  </si>
  <si>
    <t>PEDRO T. ESCOBARTE, JR., CESO IV</t>
  </si>
  <si>
    <r>
      <t>Variance as of December</t>
    </r>
    <r>
      <rPr>
        <b/>
        <u/>
        <sz val="10"/>
        <color theme="1"/>
        <rFont val="Bookman Old Style"/>
        <family val="1"/>
      </rPr>
      <t xml:space="preserve"> 2025</t>
    </r>
  </si>
  <si>
    <t>Sir Dandee DB</t>
  </si>
  <si>
    <t>Date: 12/22/2025</t>
  </si>
  <si>
    <t>As of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</si>
</sst>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%"/>
  </numFmts>
  <fonts count="22" x14ac:knownFonts="1">
    <font>
      <sz val="11"/>
      <color theme="1"/>
      <name val="Aptos Narrow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1"/>
      <color theme="1"/>
      <name val="Aptos Narrow"/>
      <family val="2"/>
      <scheme val="minor"/>
    </font>
    <font>
      <i/>
      <sz val="10"/>
      <color theme="1"/>
      <name val="Bookman Old Style"/>
      <family val="1"/>
    </font>
    <font>
      <b/>
      <sz val="9"/>
      <color theme="1"/>
      <name val="Bookman Old Style"/>
      <family val="1"/>
    </font>
    <font>
      <b/>
      <i/>
      <sz val="10"/>
      <color rgb="FFFF0000"/>
      <name val="Bookman Old Style"/>
      <family val="1"/>
    </font>
    <font>
      <sz val="10"/>
      <color rgb="FFFF0000"/>
      <name val="Bookman Old Style"/>
      <family val="1"/>
    </font>
    <font>
      <sz val="10"/>
      <name val="Bookman Old Style"/>
      <family val="1"/>
    </font>
    <font>
      <sz val="10"/>
      <color theme="0"/>
      <name val="Bookman Old Style"/>
      <family val="1"/>
    </font>
    <font>
      <b/>
      <i/>
      <sz val="10"/>
      <color theme="0"/>
      <name val="Bookman Old Style"/>
      <family val="1"/>
    </font>
    <font>
      <sz val="14"/>
      <color theme="1"/>
      <name val="Bookman Old Style"/>
      <family val="1"/>
    </font>
    <font>
      <sz val="16"/>
      <color theme="1"/>
      <name val="Bookman Old Style"/>
      <family val="1"/>
    </font>
    <font>
      <b/>
      <sz val="16"/>
      <color theme="1"/>
      <name val="Bookman Old Style"/>
      <family val="1"/>
    </font>
    <font>
      <i/>
      <sz val="16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11"/>
      <color theme="1"/>
      <name val="Arial"/>
      <family val="2"/>
    </font>
    <font>
      <i/>
      <sz val="10"/>
      <name val="Bookman Old Style"/>
      <family val="1"/>
    </font>
    <font>
      <b/>
      <u/>
      <sz val="10"/>
      <color theme="1"/>
      <name val="Bookman Old Style"/>
      <family val="1"/>
    </font>
    <font>
      <sz val="9"/>
      <color theme="1"/>
      <name val="Bookman Old Style"/>
      <family val="1"/>
    </font>
    <font>
      <sz val="8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2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11" xfId="0" applyFont="1" applyBorder="1"/>
    <xf numFmtId="0" fontId="2" fillId="0" borderId="0" xfId="0" applyFont="1" applyAlignment="1">
      <alignment vertical="center"/>
    </xf>
    <xf numFmtId="0" fontId="2" fillId="0" borderId="10" xfId="0" applyFont="1" applyBorder="1"/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2" fillId="0" borderId="11" xfId="0" applyNumberFormat="1" applyFont="1" applyBorder="1"/>
    <xf numFmtId="1" fontId="2" fillId="0" borderId="1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 indent="4"/>
    </xf>
    <xf numFmtId="0" fontId="2" fillId="0" borderId="0" xfId="0" applyFont="1" applyAlignment="1">
      <alignment horizontal="left" vertical="center" wrapText="1" indent="4"/>
    </xf>
    <xf numFmtId="0" fontId="2" fillId="0" borderId="9" xfId="0" applyFont="1" applyBorder="1" applyAlignment="1">
      <alignment horizontal="left" vertical="center" wrapText="1" indent="4"/>
    </xf>
    <xf numFmtId="0" fontId="2" fillId="0" borderId="10" xfId="0" applyFont="1" applyBorder="1" applyAlignment="1">
      <alignment horizontal="left" vertical="center" indent="4"/>
    </xf>
    <xf numFmtId="0" fontId="2" fillId="0" borderId="0" xfId="0" applyFont="1" applyAlignment="1">
      <alignment horizontal="left" vertical="center" indent="4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0" fontId="2" fillId="0" borderId="1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10" fontId="2" fillId="0" borderId="10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indent="4"/>
    </xf>
    <xf numFmtId="0" fontId="2" fillId="0" borderId="0" xfId="0" applyFont="1" applyAlignment="1">
      <alignment horizontal="left" indent="4"/>
    </xf>
    <xf numFmtId="0" fontId="2" fillId="0" borderId="9" xfId="0" applyFont="1" applyBorder="1" applyAlignment="1">
      <alignment horizontal="left" indent="4"/>
    </xf>
    <xf numFmtId="0" fontId="2" fillId="0" borderId="6" xfId="0" applyFont="1" applyBorder="1" applyAlignment="1">
      <alignment horizontal="left" indent="8"/>
    </xf>
    <xf numFmtId="0" fontId="2" fillId="0" borderId="0" xfId="0" applyFont="1" applyAlignment="1">
      <alignment horizontal="left" indent="8"/>
    </xf>
    <xf numFmtId="0" fontId="2" fillId="0" borderId="9" xfId="0" applyFont="1" applyBorder="1" applyAlignment="1">
      <alignment horizontal="left" indent="8"/>
    </xf>
    <xf numFmtId="0" fontId="2" fillId="0" borderId="6" xfId="0" applyFont="1" applyBorder="1" applyAlignment="1">
      <alignment horizontal="left" indent="9"/>
    </xf>
    <xf numFmtId="0" fontId="2" fillId="0" borderId="0" xfId="0" applyFont="1" applyAlignment="1">
      <alignment horizontal="left" indent="9"/>
    </xf>
    <xf numFmtId="0" fontId="2" fillId="0" borderId="9" xfId="0" applyFont="1" applyBorder="1" applyAlignment="1">
      <alignment horizontal="left" indent="9"/>
    </xf>
    <xf numFmtId="0" fontId="2" fillId="0" borderId="6" xfId="0" applyFont="1" applyBorder="1" applyAlignment="1">
      <alignment horizontal="left" indent="10"/>
    </xf>
    <xf numFmtId="0" fontId="2" fillId="0" borderId="0" xfId="0" applyFont="1" applyAlignment="1">
      <alignment horizontal="left" indent="10"/>
    </xf>
    <xf numFmtId="0" fontId="2" fillId="0" borderId="9" xfId="0" applyFont="1" applyBorder="1" applyAlignment="1">
      <alignment horizontal="left" indent="10"/>
    </xf>
    <xf numFmtId="0" fontId="5" fillId="0" borderId="0" xfId="0" applyFont="1" applyAlignment="1">
      <alignment wrapText="1"/>
    </xf>
    <xf numFmtId="0" fontId="2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10" fontId="2" fillId="0" borderId="10" xfId="1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1" fontId="2" fillId="0" borderId="10" xfId="1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3" fontId="2" fillId="0" borderId="10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 vertical="center" wrapText="1"/>
    </xf>
    <xf numFmtId="9" fontId="2" fillId="0" borderId="10" xfId="0" applyNumberFormat="1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9" fontId="2" fillId="0" borderId="9" xfId="1" applyFont="1" applyBorder="1" applyAlignment="1">
      <alignment horizontal="center"/>
    </xf>
    <xf numFmtId="164" fontId="2" fillId="0" borderId="9" xfId="1" applyNumberFormat="1" applyFont="1" applyBorder="1" applyAlignment="1">
      <alignment horizontal="center"/>
    </xf>
    <xf numFmtId="9" fontId="2" fillId="0" borderId="10" xfId="1" applyFont="1" applyBorder="1" applyAlignment="1">
      <alignment horizontal="center" vertical="center" wrapText="1"/>
    </xf>
    <xf numFmtId="10" fontId="2" fillId="0" borderId="10" xfId="1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/>
    </xf>
    <xf numFmtId="9" fontId="2" fillId="0" borderId="10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 indent="5"/>
    </xf>
    <xf numFmtId="0" fontId="2" fillId="0" borderId="0" xfId="0" applyFont="1" applyAlignment="1">
      <alignment horizontal="left" vertical="center" wrapText="1" indent="5"/>
    </xf>
    <xf numFmtId="0" fontId="4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 indent="3"/>
    </xf>
    <xf numFmtId="0" fontId="2" fillId="2" borderId="10" xfId="0" applyFont="1" applyFill="1" applyBorder="1" applyAlignment="1">
      <alignment horizontal="center" vertical="center"/>
    </xf>
    <xf numFmtId="10" fontId="2" fillId="2" borderId="10" xfId="0" applyNumberFormat="1" applyFont="1" applyFill="1" applyBorder="1" applyAlignment="1">
      <alignment horizontal="center" vertical="center" wrapText="1"/>
    </xf>
    <xf numFmtId="0" fontId="2" fillId="2" borderId="10" xfId="1" applyNumberFormat="1" applyFont="1" applyFill="1" applyBorder="1" applyAlignment="1">
      <alignment horizontal="center" vertical="center"/>
    </xf>
    <xf numFmtId="10" fontId="2" fillId="2" borderId="10" xfId="1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" fontId="2" fillId="2" borderId="10" xfId="1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9" fontId="2" fillId="3" borderId="10" xfId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2" fillId="3" borderId="10" xfId="0" applyFont="1" applyFill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wrapText="1"/>
    </xf>
    <xf numFmtId="0" fontId="8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10" fontId="2" fillId="0" borderId="9" xfId="0" applyNumberFormat="1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9" fontId="2" fillId="0" borderId="10" xfId="1" applyFont="1" applyFill="1" applyBorder="1" applyAlignment="1">
      <alignment horizontal="center" vertical="center"/>
    </xf>
    <xf numFmtId="0" fontId="2" fillId="0" borderId="10" xfId="1" applyNumberFormat="1" applyFont="1" applyFill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/>
    </xf>
    <xf numFmtId="9" fontId="2" fillId="0" borderId="10" xfId="1" applyFont="1" applyBorder="1" applyAlignment="1">
      <alignment horizontal="left" vertical="center" indent="4"/>
    </xf>
    <xf numFmtId="9" fontId="2" fillId="0" borderId="10" xfId="1" applyFont="1" applyBorder="1" applyAlignment="1">
      <alignment horizontal="center" vertical="center"/>
    </xf>
    <xf numFmtId="0" fontId="2" fillId="0" borderId="9" xfId="1" applyNumberFormat="1" applyFont="1" applyBorder="1" applyAlignment="1">
      <alignment horizontal="center"/>
    </xf>
    <xf numFmtId="10" fontId="2" fillId="3" borderId="10" xfId="1" applyNumberFormat="1" applyFont="1" applyFill="1" applyBorder="1" applyAlignment="1">
      <alignment horizontal="center" vertical="center" wrapText="1"/>
    </xf>
    <xf numFmtId="9" fontId="2" fillId="0" borderId="10" xfId="1" applyFont="1" applyBorder="1"/>
    <xf numFmtId="9" fontId="2" fillId="0" borderId="10" xfId="0" applyNumberFormat="1" applyFont="1" applyBorder="1" applyAlignment="1">
      <alignment horizontal="center"/>
    </xf>
    <xf numFmtId="9" fontId="2" fillId="3" borderId="10" xfId="0" applyNumberFormat="1" applyFont="1" applyFill="1" applyBorder="1" applyAlignment="1">
      <alignment horizontal="center" vertical="center"/>
    </xf>
    <xf numFmtId="9" fontId="2" fillId="0" borderId="14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/>
    </xf>
    <xf numFmtId="0" fontId="2" fillId="3" borderId="11" xfId="0" applyFont="1" applyFill="1" applyBorder="1"/>
    <xf numFmtId="9" fontId="7" fillId="0" borderId="10" xfId="1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10" fontId="9" fillId="0" borderId="17" xfId="0" applyNumberFormat="1" applyFont="1" applyBorder="1" applyAlignment="1">
      <alignment horizontal="center" vertical="center" wrapText="1"/>
    </xf>
    <xf numFmtId="49" fontId="9" fillId="0" borderId="17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3" fontId="9" fillId="0" borderId="17" xfId="0" applyNumberFormat="1" applyFont="1" applyBorder="1" applyAlignment="1">
      <alignment horizontal="center" vertical="center" wrapText="1"/>
    </xf>
    <xf numFmtId="164" fontId="9" fillId="0" borderId="17" xfId="0" applyNumberFormat="1" applyFont="1" applyBorder="1" applyAlignment="1">
      <alignment horizontal="center" vertical="center" wrapText="1"/>
    </xf>
    <xf numFmtId="9" fontId="9" fillId="0" borderId="17" xfId="0" applyNumberFormat="1" applyFont="1" applyBorder="1" applyAlignment="1">
      <alignment horizontal="center" vertical="center" wrapText="1"/>
    </xf>
    <xf numFmtId="9" fontId="9" fillId="0" borderId="17" xfId="1" applyFont="1" applyFill="1" applyBorder="1" applyAlignment="1">
      <alignment horizontal="center" vertical="center" wrapText="1"/>
    </xf>
    <xf numFmtId="10" fontId="9" fillId="0" borderId="17" xfId="1" applyNumberFormat="1" applyFont="1" applyFill="1" applyBorder="1" applyAlignment="1">
      <alignment horizontal="center" vertical="center" wrapText="1"/>
    </xf>
    <xf numFmtId="0" fontId="2" fillId="0" borderId="17" xfId="0" applyFont="1" applyBorder="1" applyAlignment="1">
      <alignment wrapText="1"/>
    </xf>
    <xf numFmtId="0" fontId="2" fillId="0" borderId="17" xfId="0" applyFont="1" applyBorder="1" applyAlignment="1">
      <alignment horizontal="center" wrapText="1"/>
    </xf>
    <xf numFmtId="1" fontId="9" fillId="0" borderId="17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wrapText="1"/>
    </xf>
    <xf numFmtId="0" fontId="9" fillId="0" borderId="17" xfId="0" applyFont="1" applyBorder="1" applyAlignment="1">
      <alignment wrapText="1"/>
    </xf>
    <xf numFmtId="0" fontId="9" fillId="0" borderId="17" xfId="0" applyFont="1" applyBorder="1" applyAlignment="1">
      <alignment horizontal="left" vertical="center" wrapText="1"/>
    </xf>
    <xf numFmtId="0" fontId="9" fillId="0" borderId="17" xfId="1" applyNumberFormat="1" applyFont="1" applyFill="1" applyBorder="1" applyAlignment="1">
      <alignment horizontal="center" vertical="center" wrapText="1"/>
    </xf>
    <xf numFmtId="9" fontId="9" fillId="0" borderId="17" xfId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" fontId="9" fillId="0" borderId="17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0" fontId="9" fillId="0" borderId="17" xfId="0" applyNumberFormat="1" applyFont="1" applyBorder="1" applyAlignment="1">
      <alignment horizontal="center" wrapText="1"/>
    </xf>
    <xf numFmtId="9" fontId="9" fillId="0" borderId="17" xfId="0" applyNumberFormat="1" applyFont="1" applyBorder="1" applyAlignment="1">
      <alignment horizontal="center" wrapText="1"/>
    </xf>
    <xf numFmtId="3" fontId="9" fillId="0" borderId="17" xfId="0" applyNumberFormat="1" applyFont="1" applyBorder="1" applyAlignment="1">
      <alignment horizontal="center" wrapText="1"/>
    </xf>
    <xf numFmtId="1" fontId="9" fillId="0" borderId="17" xfId="0" applyNumberFormat="1" applyFont="1" applyBorder="1" applyAlignment="1">
      <alignment wrapText="1"/>
    </xf>
    <xf numFmtId="9" fontId="9" fillId="0" borderId="17" xfId="1" applyFont="1" applyFill="1" applyBorder="1" applyAlignment="1">
      <alignment horizontal="center" wrapText="1"/>
    </xf>
    <xf numFmtId="0" fontId="9" fillId="0" borderId="17" xfId="1" applyNumberFormat="1" applyFont="1" applyFill="1" applyBorder="1" applyAlignment="1">
      <alignment horizontal="center" wrapText="1"/>
    </xf>
    <xf numFmtId="9" fontId="9" fillId="0" borderId="17" xfId="1" applyFont="1" applyFill="1" applyBorder="1" applyAlignment="1">
      <alignment wrapText="1"/>
    </xf>
    <xf numFmtId="0" fontId="12" fillId="0" borderId="17" xfId="0" applyFont="1" applyBorder="1" applyAlignment="1">
      <alignment horizontal="left" wrapText="1"/>
    </xf>
    <xf numFmtId="0" fontId="12" fillId="0" borderId="17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wrapText="1"/>
    </xf>
    <xf numFmtId="0" fontId="15" fillId="0" borderId="0" xfId="0" applyFont="1"/>
    <xf numFmtId="0" fontId="16" fillId="0" borderId="17" xfId="0" applyFont="1" applyBorder="1" applyAlignment="1">
      <alignment horizontal="center"/>
    </xf>
    <xf numFmtId="0" fontId="0" fillId="0" borderId="17" xfId="0" applyBorder="1"/>
    <xf numFmtId="0" fontId="16" fillId="0" borderId="17" xfId="0" applyFont="1" applyBorder="1" applyAlignment="1">
      <alignment horizontal="center" wrapText="1"/>
    </xf>
    <xf numFmtId="0" fontId="16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2" fillId="0" borderId="10" xfId="1" applyFont="1" applyBorder="1" applyAlignment="1">
      <alignment horizontal="center"/>
    </xf>
    <xf numFmtId="10" fontId="2" fillId="0" borderId="18" xfId="0" applyNumberFormat="1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9" fontId="2" fillId="0" borderId="18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0" fontId="17" fillId="4" borderId="19" xfId="0" applyNumberFormat="1" applyFont="1" applyFill="1" applyBorder="1" applyAlignment="1">
      <alignment horizontal="center" wrapText="1"/>
    </xf>
    <xf numFmtId="10" fontId="17" fillId="4" borderId="20" xfId="0" applyNumberFormat="1" applyFont="1" applyFill="1" applyBorder="1" applyAlignment="1">
      <alignment horizontal="center" wrapText="1"/>
    </xf>
    <xf numFmtId="9" fontId="0" fillId="0" borderId="17" xfId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 indent="4"/>
    </xf>
    <xf numFmtId="0" fontId="8" fillId="0" borderId="0" xfId="0" applyFont="1" applyAlignment="1">
      <alignment horizontal="left" vertical="center" wrapText="1" indent="4"/>
    </xf>
    <xf numFmtId="0" fontId="8" fillId="0" borderId="9" xfId="0" applyFont="1" applyBorder="1" applyAlignment="1">
      <alignment horizontal="left" vertical="center" wrapText="1" indent="4"/>
    </xf>
    <xf numFmtId="10" fontId="8" fillId="0" borderId="10" xfId="0" applyNumberFormat="1" applyFont="1" applyBorder="1" applyAlignment="1">
      <alignment horizontal="center" vertical="center" wrapText="1"/>
    </xf>
    <xf numFmtId="10" fontId="8" fillId="0" borderId="10" xfId="1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 wrapText="1"/>
    </xf>
    <xf numFmtId="165" fontId="2" fillId="0" borderId="10" xfId="1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3" fontId="8" fillId="0" borderId="10" xfId="0" applyNumberFormat="1" applyFont="1" applyBorder="1" applyAlignment="1">
      <alignment horizontal="center" vertical="center"/>
    </xf>
    <xf numFmtId="3" fontId="8" fillId="0" borderId="10" xfId="0" applyNumberFormat="1" applyFont="1" applyBorder="1" applyAlignment="1">
      <alignment horizontal="center" vertical="center" wrapText="1"/>
    </xf>
    <xf numFmtId="10" fontId="8" fillId="0" borderId="10" xfId="0" applyNumberFormat="1" applyFont="1" applyBorder="1" applyAlignment="1">
      <alignment horizontal="center" vertical="center"/>
    </xf>
    <xf numFmtId="164" fontId="2" fillId="0" borderId="9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3" fontId="2" fillId="0" borderId="9" xfId="0" applyNumberFormat="1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9" fontId="9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9" fontId="9" fillId="0" borderId="10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 indent="7"/>
    </xf>
    <xf numFmtId="3" fontId="2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vertical="top"/>
    </xf>
    <xf numFmtId="0" fontId="9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left" vertical="center" wrapText="1"/>
    </xf>
    <xf numFmtId="164" fontId="2" fillId="0" borderId="10" xfId="0" applyNumberFormat="1" applyFont="1" applyBorder="1" applyAlignment="1">
      <alignment horizontal="center" vertical="center"/>
    </xf>
    <xf numFmtId="10" fontId="2" fillId="0" borderId="10" xfId="1" applyNumberFormat="1" applyFont="1" applyFill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/>
    </xf>
    <xf numFmtId="164" fontId="2" fillId="0" borderId="9" xfId="1" applyNumberFormat="1" applyFont="1" applyFill="1" applyBorder="1" applyAlignment="1">
      <alignment horizontal="center"/>
    </xf>
    <xf numFmtId="10" fontId="9" fillId="0" borderId="9" xfId="0" applyNumberFormat="1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0" fontId="9" fillId="0" borderId="10" xfId="0" applyNumberFormat="1" applyFont="1" applyBorder="1" applyAlignment="1">
      <alignment horizontal="center" vertical="center"/>
    </xf>
    <xf numFmtId="0" fontId="9" fillId="0" borderId="10" xfId="0" applyFont="1" applyBorder="1"/>
    <xf numFmtId="0" fontId="1" fillId="0" borderId="0" xfId="0" applyFont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 indent="11"/>
    </xf>
    <xf numFmtId="0" fontId="2" fillId="0" borderId="0" xfId="0" applyFont="1" applyAlignment="1">
      <alignment horizontal="left" vertical="center" wrapText="1" indent="11"/>
    </xf>
    <xf numFmtId="0" fontId="2" fillId="0" borderId="9" xfId="0" applyFont="1" applyBorder="1" applyAlignment="1">
      <alignment horizontal="left" vertical="center" wrapText="1" indent="1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indent="4"/>
    </xf>
    <xf numFmtId="0" fontId="4" fillId="0" borderId="0" xfId="0" applyFont="1" applyAlignment="1">
      <alignment horizontal="left" indent="4"/>
    </xf>
    <xf numFmtId="0" fontId="4" fillId="0" borderId="9" xfId="0" applyFont="1" applyBorder="1" applyAlignment="1">
      <alignment horizontal="left" indent="4"/>
    </xf>
    <xf numFmtId="0" fontId="2" fillId="0" borderId="6" xfId="0" applyFont="1" applyBorder="1" applyAlignment="1">
      <alignment horizontal="left" vertical="center" wrapText="1" indent="5"/>
    </xf>
    <xf numFmtId="0" fontId="2" fillId="0" borderId="0" xfId="0" applyFont="1" applyAlignment="1">
      <alignment horizontal="left" vertical="center" wrapText="1" indent="5"/>
    </xf>
    <xf numFmtId="0" fontId="2" fillId="0" borderId="9" xfId="0" applyFont="1" applyBorder="1" applyAlignment="1">
      <alignment horizontal="left" vertical="center" wrapText="1" indent="5"/>
    </xf>
    <xf numFmtId="0" fontId="2" fillId="0" borderId="6" xfId="0" applyFont="1" applyBorder="1" applyAlignment="1">
      <alignment horizontal="left" vertical="center" wrapText="1" indent="9"/>
    </xf>
    <xf numFmtId="0" fontId="2" fillId="0" borderId="0" xfId="0" applyFont="1" applyAlignment="1">
      <alignment horizontal="left" vertical="center" wrapText="1" indent="9"/>
    </xf>
    <xf numFmtId="0" fontId="2" fillId="0" borderId="9" xfId="0" applyFont="1" applyBorder="1" applyAlignment="1">
      <alignment horizontal="left" vertical="center" wrapText="1" indent="9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left"/>
    </xf>
    <xf numFmtId="0" fontId="1" fillId="0" borderId="6" xfId="0" applyFont="1" applyBorder="1" applyAlignment="1">
      <alignment horizontal="left" vertical="center" wrapText="1" indent="5"/>
    </xf>
    <xf numFmtId="0" fontId="1" fillId="0" borderId="0" xfId="0" applyFont="1" applyAlignment="1">
      <alignment horizontal="left" vertical="center" wrapText="1" indent="5"/>
    </xf>
    <xf numFmtId="0" fontId="1" fillId="0" borderId="9" xfId="0" applyFont="1" applyBorder="1" applyAlignment="1">
      <alignment horizontal="left" vertical="center" wrapText="1" indent="5"/>
    </xf>
    <xf numFmtId="0" fontId="2" fillId="0" borderId="2" xfId="0" applyFont="1" applyBorder="1" applyAlignment="1">
      <alignment horizontal="center"/>
    </xf>
    <xf numFmtId="0" fontId="2" fillId="0" borderId="15" xfId="0" applyFont="1" applyBorder="1" applyAlignment="1">
      <alignment horizontal="left" vertical="center" wrapText="1" indent="5"/>
    </xf>
    <xf numFmtId="0" fontId="2" fillId="0" borderId="1" xfId="0" applyFont="1" applyBorder="1" applyAlignment="1">
      <alignment horizontal="left" vertical="center" wrapText="1" indent="5"/>
    </xf>
    <xf numFmtId="0" fontId="2" fillId="0" borderId="16" xfId="0" applyFont="1" applyBorder="1" applyAlignment="1">
      <alignment horizontal="left" vertical="center" wrapText="1" indent="5"/>
    </xf>
    <xf numFmtId="0" fontId="2" fillId="0" borderId="6" xfId="0" applyFont="1" applyBorder="1" applyAlignment="1">
      <alignment horizontal="left" wrapText="1" indent="4"/>
    </xf>
    <xf numFmtId="0" fontId="2" fillId="0" borderId="0" xfId="0" applyFont="1" applyAlignment="1">
      <alignment horizontal="left" wrapText="1" indent="4"/>
    </xf>
    <xf numFmtId="0" fontId="2" fillId="0" borderId="9" xfId="0" applyFont="1" applyBorder="1" applyAlignment="1">
      <alignment horizontal="left" wrapText="1" indent="4"/>
    </xf>
    <xf numFmtId="0" fontId="2" fillId="0" borderId="6" xfId="0" applyFont="1" applyBorder="1" applyAlignment="1">
      <alignment horizontal="left" indent="8"/>
    </xf>
    <xf numFmtId="0" fontId="2" fillId="0" borderId="0" xfId="0" applyFont="1" applyAlignment="1">
      <alignment horizontal="left" indent="8"/>
    </xf>
    <xf numFmtId="0" fontId="2" fillId="0" borderId="9" xfId="0" applyFont="1" applyBorder="1" applyAlignment="1">
      <alignment horizontal="left" indent="8"/>
    </xf>
    <xf numFmtId="0" fontId="2" fillId="0" borderId="6" xfId="0" applyFont="1" applyBorder="1" applyAlignment="1">
      <alignment horizontal="left" vertical="center" indent="8"/>
    </xf>
    <xf numFmtId="0" fontId="2" fillId="0" borderId="0" xfId="0" applyFont="1" applyAlignment="1">
      <alignment horizontal="left" vertical="center" indent="8"/>
    </xf>
    <xf numFmtId="0" fontId="2" fillId="0" borderId="9" xfId="0" applyFont="1" applyBorder="1" applyAlignment="1">
      <alignment horizontal="left" vertical="center" indent="8"/>
    </xf>
    <xf numFmtId="0" fontId="2" fillId="0" borderId="6" xfId="0" applyFont="1" applyBorder="1" applyAlignment="1">
      <alignment horizontal="left" vertical="center" wrapText="1" indent="4"/>
    </xf>
    <xf numFmtId="0" fontId="2" fillId="0" borderId="0" xfId="0" applyFont="1" applyAlignment="1">
      <alignment horizontal="left" vertical="center" wrapText="1" indent="4"/>
    </xf>
    <xf numFmtId="0" fontId="2" fillId="0" borderId="9" xfId="0" applyFont="1" applyBorder="1" applyAlignment="1">
      <alignment horizontal="left" vertical="center" wrapText="1" indent="4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 indent="8"/>
    </xf>
    <xf numFmtId="0" fontId="2" fillId="0" borderId="0" xfId="0" applyFont="1" applyAlignment="1">
      <alignment horizontal="left" vertical="center" wrapText="1" indent="8"/>
    </xf>
    <xf numFmtId="0" fontId="2" fillId="0" borderId="9" xfId="0" applyFont="1" applyBorder="1" applyAlignment="1">
      <alignment horizontal="left" vertical="center" wrapText="1" indent="8"/>
    </xf>
    <xf numFmtId="0" fontId="2" fillId="0" borderId="6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6" xfId="0" applyFont="1" applyBorder="1" applyAlignment="1">
      <alignment horizontal="left" indent="4"/>
    </xf>
    <xf numFmtId="0" fontId="2" fillId="0" borderId="0" xfId="0" applyFont="1" applyAlignment="1">
      <alignment horizontal="left" indent="4"/>
    </xf>
    <xf numFmtId="0" fontId="2" fillId="0" borderId="9" xfId="0" applyFont="1" applyBorder="1" applyAlignment="1">
      <alignment horizontal="left" indent="4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4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indent="7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9" xfId="0" applyFont="1" applyBorder="1" applyAlignment="1">
      <alignment vertical="center"/>
    </xf>
    <xf numFmtId="0" fontId="8" fillId="0" borderId="6" xfId="0" applyFont="1" applyBorder="1" applyAlignment="1">
      <alignment horizontal="left" vertical="center" wrapText="1" indent="4"/>
    </xf>
    <xf numFmtId="0" fontId="8" fillId="0" borderId="0" xfId="0" applyFont="1" applyAlignment="1">
      <alignment horizontal="left" vertical="center" wrapText="1" indent="4"/>
    </xf>
    <xf numFmtId="0" fontId="8" fillId="0" borderId="9" xfId="0" applyFont="1" applyBorder="1" applyAlignment="1">
      <alignment horizontal="left" vertical="center" wrapText="1" indent="4"/>
    </xf>
    <xf numFmtId="0" fontId="1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indent="4"/>
    </xf>
    <xf numFmtId="0" fontId="2" fillId="0" borderId="0" xfId="0" applyFont="1" applyAlignment="1">
      <alignment horizontal="left" vertical="center" indent="4"/>
    </xf>
    <xf numFmtId="0" fontId="2" fillId="0" borderId="9" xfId="0" applyFont="1" applyBorder="1" applyAlignment="1">
      <alignment horizontal="left" vertical="center" indent="4"/>
    </xf>
    <xf numFmtId="0" fontId="2" fillId="0" borderId="1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indent="5"/>
    </xf>
    <xf numFmtId="0" fontId="2" fillId="0" borderId="0" xfId="0" applyFont="1" applyAlignment="1">
      <alignment horizontal="left" indent="5"/>
    </xf>
    <xf numFmtId="0" fontId="2" fillId="0" borderId="9" xfId="0" applyFont="1" applyBorder="1" applyAlignment="1">
      <alignment horizontal="left" indent="5"/>
    </xf>
    <xf numFmtId="0" fontId="2" fillId="0" borderId="6" xfId="0" applyFont="1" applyBorder="1" applyAlignment="1">
      <alignment horizontal="left" vertical="center" indent="5"/>
    </xf>
    <xf numFmtId="0" fontId="2" fillId="0" borderId="0" xfId="0" applyFont="1" applyAlignment="1">
      <alignment horizontal="left" vertical="center" indent="5"/>
    </xf>
    <xf numFmtId="0" fontId="2" fillId="0" borderId="9" xfId="0" applyFont="1" applyBorder="1" applyAlignment="1">
      <alignment horizontal="left" vertical="center" indent="5"/>
    </xf>
    <xf numFmtId="0" fontId="2" fillId="0" borderId="6" xfId="0" applyFont="1" applyBorder="1" applyAlignment="1">
      <alignment horizontal="left" vertical="center" indent="9"/>
    </xf>
    <xf numFmtId="0" fontId="2" fillId="0" borderId="0" xfId="0" applyFont="1" applyAlignment="1">
      <alignment horizontal="left" vertical="center" indent="9"/>
    </xf>
    <xf numFmtId="0" fontId="2" fillId="0" borderId="9" xfId="0" applyFont="1" applyBorder="1" applyAlignment="1">
      <alignment horizontal="left" vertical="center" indent="9"/>
    </xf>
    <xf numFmtId="0" fontId="2" fillId="0" borderId="6" xfId="0" applyFont="1" applyBorder="1" applyAlignment="1">
      <alignment horizontal="left" indent="10"/>
    </xf>
    <xf numFmtId="0" fontId="2" fillId="0" borderId="0" xfId="0" applyFont="1" applyAlignment="1">
      <alignment horizontal="left" indent="10"/>
    </xf>
    <xf numFmtId="0" fontId="2" fillId="0" borderId="9" xfId="0" applyFont="1" applyBorder="1" applyAlignment="1">
      <alignment horizontal="left" indent="10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 indent="9"/>
    </xf>
    <xf numFmtId="0" fontId="2" fillId="0" borderId="0" xfId="0" applyFont="1" applyAlignment="1">
      <alignment horizontal="left" indent="9"/>
    </xf>
    <xf numFmtId="0" fontId="2" fillId="0" borderId="9" xfId="0" applyFont="1" applyBorder="1" applyAlignment="1">
      <alignment horizontal="left" indent="9"/>
    </xf>
    <xf numFmtId="0" fontId="2" fillId="0" borderId="6" xfId="0" applyFont="1" applyBorder="1" applyAlignment="1">
      <alignment horizontal="left" wrapText="1" indent="9"/>
    </xf>
    <xf numFmtId="0" fontId="2" fillId="0" borderId="0" xfId="0" applyFont="1" applyAlignment="1">
      <alignment horizontal="left" wrapText="1" indent="9"/>
    </xf>
    <xf numFmtId="0" fontId="2" fillId="0" borderId="9" xfId="0" applyFont="1" applyBorder="1" applyAlignment="1">
      <alignment horizontal="left" wrapText="1" indent="9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12" fillId="0" borderId="17" xfId="0" applyFont="1" applyBorder="1" applyAlignment="1">
      <alignment horizontal="center" wrapText="1"/>
    </xf>
    <xf numFmtId="0" fontId="12" fillId="0" borderId="17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vertical="center" wrapText="1"/>
    </xf>
    <xf numFmtId="0" fontId="14" fillId="0" borderId="1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4" fillId="0" borderId="17" xfId="0" applyFont="1" applyBorder="1" applyAlignment="1">
      <alignment horizontal="left" wrapText="1"/>
    </xf>
    <xf numFmtId="0" fontId="11" fillId="0" borderId="17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368011</xdr:colOff>
      <xdr:row>127</xdr:row>
      <xdr:rowOff>64943</xdr:rowOff>
    </xdr:from>
    <xdr:to>
      <xdr:col>2</xdr:col>
      <xdr:colOff>1984374</xdr:colOff>
      <xdr:row>132</xdr:row>
      <xdr:rowOff>160693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74D2F-9064-422F-94C2-47DD27B6E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4716" y="59538466"/>
          <a:ext cx="1616363" cy="947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1142-DC24-42CD-8FDE-8E72BEE5B7C1}">
  <dimension ref="A1:R133"/>
  <sheetViews>
    <sheetView tabSelected="1" view="pageBreakPreview" zoomScale="69" zoomScaleNormal="88" zoomScaleSheetLayoutView="88" workbookViewId="0">
      <selection activeCell="M116" sqref="M116"/>
    </sheetView>
  </sheetViews>
  <sheetFormatPr defaultColWidth="8.90625" defaultRowHeight="13" x14ac:dyDescent="0.3"/>
  <cols>
    <col min="1" max="1" width="16.08984375" style="4" customWidth="1"/>
    <col min="2" max="2" width="1.4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12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7265625" style="2" customWidth="1"/>
    <col min="16" max="16" width="40.90625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230</v>
      </c>
      <c r="F5" s="215"/>
      <c r="G5" s="215"/>
      <c r="H5" s="215"/>
      <c r="I5" s="215"/>
      <c r="J5" s="215"/>
    </row>
    <row r="7" spans="1:16" ht="59" customHeight="1" x14ac:dyDescent="0.3"/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63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50.5" customHeight="1" x14ac:dyDescent="0.3">
      <c r="A12" s="49"/>
      <c r="C12" s="188"/>
      <c r="D12" s="188"/>
    </row>
    <row r="13" spans="1:16" ht="13.5" thickBot="1" x14ac:dyDescent="0.35"/>
    <row r="14" spans="1:16" ht="13.5" thickBot="1" x14ac:dyDescent="0.35">
      <c r="A14" s="272" t="s">
        <v>2</v>
      </c>
      <c r="B14" s="272"/>
      <c r="C14" s="272"/>
      <c r="D14" s="272" t="s">
        <v>3</v>
      </c>
      <c r="E14" s="273" t="s">
        <v>4</v>
      </c>
      <c r="F14" s="273"/>
      <c r="G14" s="273"/>
      <c r="H14" s="273"/>
      <c r="I14" s="273"/>
      <c r="J14" s="273" t="s">
        <v>10</v>
      </c>
      <c r="K14" s="273"/>
      <c r="L14" s="273"/>
      <c r="M14" s="273"/>
      <c r="N14" s="273"/>
      <c r="O14" s="284" t="s">
        <v>227</v>
      </c>
      <c r="P14" s="273" t="s">
        <v>11</v>
      </c>
    </row>
    <row r="15" spans="1:16" ht="35.5" customHeight="1" thickBot="1" x14ac:dyDescent="0.35">
      <c r="A15" s="272"/>
      <c r="B15" s="272"/>
      <c r="C15" s="272"/>
      <c r="D15" s="272"/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5</v>
      </c>
      <c r="K15" s="7" t="s">
        <v>6</v>
      </c>
      <c r="L15" s="7" t="s">
        <v>7</v>
      </c>
      <c r="M15" s="7" t="s">
        <v>8</v>
      </c>
      <c r="N15" s="7" t="s">
        <v>9</v>
      </c>
      <c r="O15" s="284"/>
      <c r="P15" s="273"/>
    </row>
    <row r="16" spans="1:16" ht="13.5" thickBot="1" x14ac:dyDescent="0.35">
      <c r="A16" s="272">
        <v>1</v>
      </c>
      <c r="B16" s="272"/>
      <c r="C16" s="272"/>
      <c r="D16" s="6">
        <v>2</v>
      </c>
      <c r="E16" s="6">
        <v>3</v>
      </c>
      <c r="F16" s="6">
        <v>4</v>
      </c>
      <c r="G16" s="6">
        <v>5</v>
      </c>
      <c r="H16" s="7">
        <v>6</v>
      </c>
      <c r="I16" s="6" t="s">
        <v>21</v>
      </c>
      <c r="J16" s="6">
        <v>8</v>
      </c>
      <c r="K16" s="6">
        <v>9</v>
      </c>
      <c r="L16" s="6">
        <v>10</v>
      </c>
      <c r="M16" s="6">
        <v>11</v>
      </c>
      <c r="N16" s="6" t="s">
        <v>22</v>
      </c>
      <c r="O16" s="6">
        <v>13</v>
      </c>
      <c r="P16" s="6">
        <v>14</v>
      </c>
    </row>
    <row r="17" spans="1:16" ht="40.25" customHeight="1" x14ac:dyDescent="0.3">
      <c r="A17" s="285" t="s">
        <v>36</v>
      </c>
      <c r="B17" s="286"/>
      <c r="C17" s="287"/>
      <c r="D17" s="8"/>
      <c r="E17" s="33"/>
      <c r="F17" s="33"/>
      <c r="G17" s="33"/>
      <c r="H17" s="28"/>
      <c r="I17" s="50"/>
      <c r="J17" s="8"/>
      <c r="K17" s="8"/>
      <c r="L17" s="8"/>
      <c r="M17" s="8"/>
      <c r="N17" s="8"/>
      <c r="O17" s="8"/>
      <c r="P17" s="8"/>
    </row>
    <row r="18" spans="1:16" ht="13.25" customHeight="1" x14ac:dyDescent="0.3">
      <c r="A18" s="275" t="s">
        <v>37</v>
      </c>
      <c r="B18" s="276"/>
      <c r="C18" s="277"/>
      <c r="D18" s="20">
        <v>310100000000000</v>
      </c>
      <c r="E18" s="34"/>
      <c r="F18" s="34"/>
      <c r="G18" s="34"/>
      <c r="H18" s="29"/>
      <c r="I18" s="51"/>
      <c r="J18" s="9"/>
      <c r="K18" s="9"/>
      <c r="L18" s="9"/>
      <c r="M18" s="9"/>
      <c r="N18" s="51"/>
      <c r="O18" s="9"/>
      <c r="P18" s="9"/>
    </row>
    <row r="19" spans="1:16" x14ac:dyDescent="0.3">
      <c r="A19" s="278" t="s">
        <v>38</v>
      </c>
      <c r="B19" s="279"/>
      <c r="C19" s="280"/>
      <c r="D19" s="11"/>
      <c r="E19" s="12"/>
      <c r="F19" s="12"/>
      <c r="G19" s="12"/>
      <c r="H19" s="26"/>
      <c r="I19" s="13"/>
      <c r="J19" s="11"/>
      <c r="K19" s="11"/>
      <c r="L19" s="11"/>
      <c r="M19" s="11"/>
      <c r="N19" s="13"/>
      <c r="O19" s="11"/>
      <c r="P19" s="11"/>
    </row>
    <row r="20" spans="1:16" s="25" customFormat="1" x14ac:dyDescent="0.35">
      <c r="A20" s="281" t="s">
        <v>43</v>
      </c>
      <c r="B20" s="282"/>
      <c r="C20" s="283"/>
      <c r="D20" s="24"/>
      <c r="E20" s="12"/>
      <c r="F20" s="12"/>
      <c r="G20" s="12"/>
      <c r="H20" s="167"/>
      <c r="I20" s="168" t="e">
        <f>AVERAGE(E20:H20)</f>
        <v>#DIV/0!</v>
      </c>
      <c r="J20" s="12"/>
      <c r="K20" s="12"/>
      <c r="L20" s="12"/>
      <c r="M20" s="36"/>
      <c r="N20" s="53" t="e">
        <f>AVERAGE(J20:M20)</f>
        <v>#DIV/0!</v>
      </c>
      <c r="O20" s="36" t="e">
        <f>N20-I20</f>
        <v>#DIV/0!</v>
      </c>
      <c r="P20" s="88"/>
    </row>
    <row r="21" spans="1:16" s="25" customFormat="1" ht="19.75" customHeight="1" x14ac:dyDescent="0.35">
      <c r="A21" s="164"/>
      <c r="B21" s="165"/>
      <c r="C21" s="166"/>
      <c r="D21" s="24"/>
      <c r="E21" s="12"/>
      <c r="F21" s="12"/>
      <c r="G21" s="12"/>
      <c r="H21" s="169"/>
      <c r="I21" s="169"/>
      <c r="J21" s="12"/>
      <c r="K21" s="12"/>
      <c r="L21" s="12"/>
      <c r="M21" s="12"/>
      <c r="N21" s="54"/>
      <c r="O21" s="24"/>
      <c r="P21" s="24"/>
    </row>
    <row r="22" spans="1:16" s="25" customFormat="1" ht="27.5" customHeight="1" x14ac:dyDescent="0.35">
      <c r="A22" s="281" t="s">
        <v>44</v>
      </c>
      <c r="B22" s="282"/>
      <c r="C22" s="283"/>
      <c r="D22" s="24"/>
      <c r="E22" s="12"/>
      <c r="F22" s="12"/>
      <c r="G22" s="12"/>
      <c r="H22" s="167"/>
      <c r="I22" s="168" t="e">
        <f>AVERAGE(E22:H22)</f>
        <v>#DIV/0!</v>
      </c>
      <c r="J22" s="12"/>
      <c r="K22" s="12"/>
      <c r="L22" s="12"/>
      <c r="M22" s="36"/>
      <c r="N22" s="197" t="e">
        <f>AVERAGE(J22:M22)</f>
        <v>#DIV/0!</v>
      </c>
      <c r="O22" s="71" t="e">
        <f>N22-I22</f>
        <v>#DIV/0!</v>
      </c>
      <c r="P22" s="177"/>
    </row>
    <row r="23" spans="1:16" s="25" customFormat="1" ht="14" customHeight="1" x14ac:dyDescent="0.35">
      <c r="A23" s="21"/>
      <c r="B23" s="22"/>
      <c r="C23" s="23"/>
      <c r="D23" s="24"/>
      <c r="E23" s="12"/>
      <c r="F23" s="12"/>
      <c r="G23" s="12"/>
      <c r="H23" s="31"/>
      <c r="I23" s="52"/>
      <c r="J23" s="12"/>
      <c r="K23" s="12"/>
      <c r="L23" s="12"/>
      <c r="M23" s="12"/>
      <c r="N23" s="52"/>
      <c r="O23" s="24"/>
      <c r="P23" s="24"/>
    </row>
    <row r="24" spans="1:16" x14ac:dyDescent="0.3">
      <c r="A24" s="288" t="s">
        <v>39</v>
      </c>
      <c r="B24" s="289"/>
      <c r="C24" s="290"/>
      <c r="D24" s="11"/>
      <c r="E24" s="12"/>
      <c r="F24" s="12"/>
      <c r="G24" s="12"/>
      <c r="H24" s="26"/>
      <c r="I24" s="13"/>
      <c r="J24" s="16"/>
      <c r="K24" s="16"/>
      <c r="L24" s="16"/>
      <c r="M24" s="16"/>
      <c r="N24" s="13"/>
      <c r="O24" s="11"/>
      <c r="P24" s="11"/>
    </row>
    <row r="25" spans="1:16" x14ac:dyDescent="0.3">
      <c r="A25" s="291" t="s">
        <v>55</v>
      </c>
      <c r="B25" s="292"/>
      <c r="C25" s="293"/>
      <c r="D25" s="11"/>
      <c r="E25" s="12"/>
      <c r="F25" s="12"/>
      <c r="G25" s="12"/>
      <c r="H25" s="26"/>
      <c r="I25" s="55">
        <f>SUM(E25:H25)</f>
        <v>0</v>
      </c>
      <c r="J25" s="12"/>
      <c r="K25" s="12"/>
      <c r="L25" s="12"/>
      <c r="M25" s="12"/>
      <c r="N25" s="55">
        <f>SUM(J25:M25)</f>
        <v>0</v>
      </c>
      <c r="O25" s="202">
        <f>N25-(E25+F25+G25+H25)</f>
        <v>0</v>
      </c>
      <c r="P25" s="91"/>
    </row>
    <row r="26" spans="1:16" x14ac:dyDescent="0.3">
      <c r="A26" s="291" t="s">
        <v>53</v>
      </c>
      <c r="B26" s="292"/>
      <c r="C26" s="293"/>
      <c r="D26" s="11"/>
      <c r="E26" s="12"/>
      <c r="F26" s="12"/>
      <c r="G26" s="12"/>
      <c r="H26" s="26"/>
      <c r="I26" s="55">
        <f t="shared" ref="I26:I27" si="0">SUM(E26:H26)</f>
        <v>0</v>
      </c>
      <c r="J26" s="16"/>
      <c r="K26" s="16"/>
      <c r="L26" s="16"/>
      <c r="M26" s="12"/>
      <c r="N26" s="55">
        <f t="shared" ref="N26:N27" si="1">SUM(J26:M26)</f>
        <v>0</v>
      </c>
      <c r="O26" s="202">
        <f t="shared" ref="O26:O27" si="2">N26-I26</f>
        <v>0</v>
      </c>
      <c r="P26" s="88"/>
    </row>
    <row r="27" spans="1:16" x14ac:dyDescent="0.3">
      <c r="A27" s="291" t="s">
        <v>54</v>
      </c>
      <c r="B27" s="292"/>
      <c r="C27" s="293"/>
      <c r="D27" s="11"/>
      <c r="E27" s="12"/>
      <c r="F27" s="12"/>
      <c r="G27" s="12"/>
      <c r="H27" s="26"/>
      <c r="I27" s="55">
        <f t="shared" si="0"/>
        <v>0</v>
      </c>
      <c r="J27" s="16"/>
      <c r="K27" s="16"/>
      <c r="L27" s="16"/>
      <c r="M27" s="12"/>
      <c r="N27" s="55">
        <f t="shared" si="1"/>
        <v>0</v>
      </c>
      <c r="O27" s="202">
        <f t="shared" si="2"/>
        <v>0</v>
      </c>
      <c r="P27" s="88"/>
    </row>
    <row r="28" spans="1:16" x14ac:dyDescent="0.3">
      <c r="A28" s="214"/>
      <c r="B28" s="215"/>
      <c r="C28" s="216"/>
      <c r="D28" s="11"/>
      <c r="E28" s="12"/>
      <c r="F28" s="12"/>
      <c r="G28" s="12"/>
      <c r="H28" s="26"/>
      <c r="I28" s="13"/>
      <c r="J28" s="16"/>
      <c r="K28" s="16"/>
      <c r="L28" s="16"/>
      <c r="M28" s="16"/>
      <c r="N28" s="13"/>
      <c r="O28" s="11"/>
      <c r="P28" s="11"/>
    </row>
    <row r="29" spans="1:16" x14ac:dyDescent="0.3">
      <c r="A29" s="208" t="s">
        <v>47</v>
      </c>
      <c r="B29" s="209"/>
      <c r="C29" s="210"/>
      <c r="D29" s="20">
        <v>310200000000000</v>
      </c>
      <c r="E29" s="34"/>
      <c r="F29" s="34"/>
      <c r="G29" s="34"/>
      <c r="H29" s="29"/>
      <c r="I29" s="51"/>
      <c r="J29" s="9"/>
      <c r="K29" s="9"/>
      <c r="L29" s="9"/>
      <c r="M29" s="9"/>
      <c r="N29" s="51"/>
      <c r="O29" s="9"/>
      <c r="P29" s="9"/>
    </row>
    <row r="30" spans="1:16" x14ac:dyDescent="0.3">
      <c r="A30" s="224" t="s">
        <v>48</v>
      </c>
      <c r="B30" s="225"/>
      <c r="C30" s="226"/>
      <c r="D30" s="11"/>
      <c r="E30" s="12"/>
      <c r="F30" s="12"/>
      <c r="G30" s="12"/>
      <c r="H30" s="26"/>
      <c r="I30" s="13"/>
      <c r="J30" s="11"/>
      <c r="K30" s="11"/>
      <c r="L30" s="11"/>
      <c r="M30" s="11"/>
      <c r="N30" s="13"/>
      <c r="O30" s="11"/>
      <c r="P30" s="11"/>
    </row>
    <row r="31" spans="1:16" s="10" customFormat="1" ht="31.75" customHeight="1" x14ac:dyDescent="0.3">
      <c r="A31" s="252" t="s">
        <v>49</v>
      </c>
      <c r="B31" s="253"/>
      <c r="C31" s="254"/>
      <c r="D31" s="16"/>
      <c r="E31" s="12"/>
      <c r="F31" s="12"/>
      <c r="G31" s="12"/>
      <c r="H31" s="26"/>
      <c r="I31" s="16"/>
      <c r="J31" s="16"/>
      <c r="K31" s="16"/>
      <c r="L31" s="16"/>
      <c r="M31" s="16"/>
      <c r="N31" s="16"/>
      <c r="O31" s="16"/>
      <c r="P31" s="16"/>
    </row>
    <row r="32" spans="1:16" ht="16.5" customHeight="1" x14ac:dyDescent="0.3">
      <c r="A32" s="211" t="s">
        <v>25</v>
      </c>
      <c r="B32" s="212"/>
      <c r="C32" s="213"/>
      <c r="D32" s="11"/>
      <c r="E32" s="12"/>
      <c r="F32" s="36"/>
      <c r="G32" s="12"/>
      <c r="H32" s="26"/>
      <c r="I32" s="180" t="e">
        <f>AVERAGE(E32:H32)</f>
        <v>#DIV/0!</v>
      </c>
      <c r="J32" s="11"/>
      <c r="K32" s="36"/>
      <c r="L32" s="187">
        <v>0</v>
      </c>
      <c r="M32" s="11"/>
      <c r="N32" s="180" t="e">
        <f>AVERAGE(K32)</f>
        <v>#DIV/0!</v>
      </c>
      <c r="O32" s="36" t="e">
        <f>N32-I32</f>
        <v>#DIV/0!</v>
      </c>
      <c r="P32" s="294"/>
    </row>
    <row r="33" spans="1:16" x14ac:dyDescent="0.3">
      <c r="A33" s="14"/>
      <c r="B33" s="3"/>
      <c r="C33" s="15"/>
      <c r="D33" s="11"/>
      <c r="E33" s="12"/>
      <c r="F33" s="191"/>
      <c r="G33" s="12"/>
      <c r="H33" s="26"/>
      <c r="I33" s="190">
        <f>F33</f>
        <v>0</v>
      </c>
      <c r="J33" s="11"/>
      <c r="K33" s="191"/>
      <c r="L33" s="186"/>
      <c r="M33" s="11"/>
      <c r="N33" s="13"/>
      <c r="O33" s="16"/>
      <c r="P33" s="294"/>
    </row>
    <row r="34" spans="1:16" x14ac:dyDescent="0.3">
      <c r="A34" s="14"/>
      <c r="B34" s="3"/>
      <c r="C34" s="15"/>
      <c r="D34" s="11"/>
      <c r="E34" s="12"/>
      <c r="F34" s="12"/>
      <c r="G34" s="12"/>
      <c r="H34" s="26"/>
      <c r="I34" s="13"/>
      <c r="J34" s="11"/>
      <c r="K34" s="11"/>
      <c r="L34" s="186"/>
      <c r="M34" s="11"/>
      <c r="N34" s="13"/>
      <c r="O34" s="16"/>
      <c r="P34" s="11"/>
    </row>
    <row r="35" spans="1:16" x14ac:dyDescent="0.3">
      <c r="A35" s="211" t="s">
        <v>26</v>
      </c>
      <c r="B35" s="212"/>
      <c r="C35" s="213"/>
      <c r="D35" s="11"/>
      <c r="E35" s="12"/>
      <c r="F35" s="36"/>
      <c r="G35" s="12"/>
      <c r="H35" s="26"/>
      <c r="I35" s="36" t="e">
        <f>AVERAGE(E35:H35)</f>
        <v>#DIV/0!</v>
      </c>
      <c r="J35" s="11"/>
      <c r="K35" s="36"/>
      <c r="L35" s="187">
        <v>0</v>
      </c>
      <c r="M35" s="11"/>
      <c r="N35" s="36" t="e">
        <f>AVERAGE(K35)</f>
        <v>#DIV/0!</v>
      </c>
      <c r="O35" s="36" t="e">
        <f>N35-I35</f>
        <v>#DIV/0!</v>
      </c>
      <c r="P35" s="294"/>
    </row>
    <row r="36" spans="1:16" x14ac:dyDescent="0.3">
      <c r="A36" s="14"/>
      <c r="B36" s="3"/>
      <c r="C36" s="15"/>
      <c r="D36" s="11"/>
      <c r="E36" s="12"/>
      <c r="F36" s="191"/>
      <c r="G36" s="12"/>
      <c r="H36" s="26"/>
      <c r="I36" s="191"/>
      <c r="J36" s="11"/>
      <c r="K36" s="191"/>
      <c r="L36" s="186"/>
      <c r="M36" s="11"/>
      <c r="N36" s="12"/>
      <c r="O36" s="16"/>
      <c r="P36" s="294"/>
    </row>
    <row r="37" spans="1:16" x14ac:dyDescent="0.3">
      <c r="A37" s="211" t="s">
        <v>27</v>
      </c>
      <c r="B37" s="212"/>
      <c r="C37" s="213"/>
      <c r="D37" s="11"/>
      <c r="E37" s="12"/>
      <c r="F37" s="36"/>
      <c r="G37" s="12"/>
      <c r="H37" s="26"/>
      <c r="I37" s="36" t="e">
        <f>AVERAGE(E37:H37)</f>
        <v>#DIV/0!</v>
      </c>
      <c r="J37" s="11"/>
      <c r="K37" s="36"/>
      <c r="L37" s="187">
        <v>0</v>
      </c>
      <c r="M37" s="11"/>
      <c r="N37" s="36" t="e">
        <f>AVERAGE(K37)</f>
        <v>#DIV/0!</v>
      </c>
      <c r="O37" s="36" t="e">
        <f>N37-I37</f>
        <v>#DIV/0!</v>
      </c>
      <c r="P37" s="294"/>
    </row>
    <row r="38" spans="1:16" x14ac:dyDescent="0.3">
      <c r="A38" s="14"/>
      <c r="B38" s="3"/>
      <c r="C38" s="15"/>
      <c r="D38" s="11"/>
      <c r="E38" s="12"/>
      <c r="F38" s="191"/>
      <c r="G38" s="12"/>
      <c r="H38" s="26"/>
      <c r="I38" s="191"/>
      <c r="J38" s="11"/>
      <c r="K38" s="191"/>
      <c r="L38" s="11"/>
      <c r="M38" s="11"/>
      <c r="N38" s="12"/>
      <c r="O38" s="11"/>
      <c r="P38" s="294"/>
    </row>
    <row r="39" spans="1:16" x14ac:dyDescent="0.3">
      <c r="A39" s="14"/>
      <c r="B39" s="3"/>
      <c r="C39" s="15"/>
      <c r="D39" s="11"/>
      <c r="E39" s="12"/>
      <c r="F39" s="12"/>
      <c r="G39" s="12"/>
      <c r="H39" s="26"/>
      <c r="I39" s="13"/>
      <c r="J39" s="11"/>
      <c r="K39" s="11"/>
      <c r="L39" s="11"/>
      <c r="M39" s="11"/>
      <c r="N39" s="13"/>
      <c r="O39" s="11"/>
      <c r="P39" s="11"/>
    </row>
    <row r="40" spans="1:16" x14ac:dyDescent="0.3">
      <c r="A40" s="243" t="s">
        <v>46</v>
      </c>
      <c r="B40" s="244"/>
      <c r="C40" s="245"/>
      <c r="D40" s="16"/>
      <c r="E40" s="12"/>
      <c r="F40" s="12"/>
      <c r="G40" s="12"/>
      <c r="H40" s="26"/>
      <c r="I40" s="16"/>
      <c r="J40" s="16"/>
      <c r="K40" s="16"/>
      <c r="L40" s="16"/>
      <c r="M40" s="16"/>
      <c r="N40" s="16"/>
      <c r="O40" s="16"/>
      <c r="P40" s="16"/>
    </row>
    <row r="41" spans="1:16" x14ac:dyDescent="0.3">
      <c r="A41" s="304" t="s">
        <v>51</v>
      </c>
      <c r="B41" s="305"/>
      <c r="C41" s="306"/>
      <c r="D41" s="11"/>
      <c r="E41" s="12"/>
      <c r="F41" s="36"/>
      <c r="G41" s="12"/>
      <c r="H41" s="26"/>
      <c r="I41" s="36" t="e">
        <f>AVERAGE(E41:H41)</f>
        <v>#DIV/0!</v>
      </c>
      <c r="J41" s="178"/>
      <c r="K41" s="36"/>
      <c r="L41" s="184">
        <v>0</v>
      </c>
      <c r="M41" s="71"/>
      <c r="N41" s="36" t="e">
        <f>AVERAGE(K41)</f>
        <v>#DIV/0!</v>
      </c>
      <c r="O41" s="36" t="e">
        <f>N41-I41</f>
        <v>#DIV/0!</v>
      </c>
      <c r="P41" s="294"/>
    </row>
    <row r="42" spans="1:16" x14ac:dyDescent="0.3">
      <c r="A42" s="46"/>
      <c r="B42" s="47"/>
      <c r="C42" s="48"/>
      <c r="D42" s="11"/>
      <c r="E42" s="12"/>
      <c r="F42" s="191"/>
      <c r="G42" s="191"/>
      <c r="H42" s="192"/>
      <c r="I42" s="191"/>
      <c r="J42" s="193"/>
      <c r="K42" s="191"/>
      <c r="L42" s="186"/>
      <c r="M42" s="16"/>
      <c r="N42" s="12"/>
      <c r="O42" s="16"/>
      <c r="P42" s="294"/>
    </row>
    <row r="43" spans="1:16" x14ac:dyDescent="0.3">
      <c r="A43" s="46"/>
      <c r="B43" s="47"/>
      <c r="C43" s="48"/>
      <c r="D43" s="11"/>
      <c r="E43" s="12"/>
      <c r="F43" s="12"/>
      <c r="G43" s="12"/>
      <c r="H43" s="26"/>
      <c r="I43" s="12"/>
      <c r="J43" s="11"/>
      <c r="K43" s="16"/>
      <c r="L43" s="186"/>
      <c r="M43" s="16"/>
      <c r="N43" s="12"/>
      <c r="O43" s="16"/>
      <c r="P43" s="11"/>
    </row>
    <row r="44" spans="1:16" x14ac:dyDescent="0.3">
      <c r="A44" s="46"/>
      <c r="B44" s="47"/>
      <c r="C44" s="48"/>
      <c r="D44" s="11"/>
      <c r="E44" s="12"/>
      <c r="F44" s="12"/>
      <c r="G44" s="12"/>
      <c r="H44" s="26"/>
      <c r="I44" s="12"/>
      <c r="J44" s="11"/>
      <c r="K44" s="16"/>
      <c r="L44" s="186"/>
      <c r="M44" s="16"/>
      <c r="N44" s="12"/>
      <c r="O44" s="16"/>
      <c r="P44" s="11"/>
    </row>
    <row r="45" spans="1:16" x14ac:dyDescent="0.3">
      <c r="A45" s="304" t="s">
        <v>50</v>
      </c>
      <c r="B45" s="305"/>
      <c r="C45" s="306"/>
      <c r="D45" s="11"/>
      <c r="E45" s="12"/>
      <c r="F45" s="170"/>
      <c r="G45" s="12"/>
      <c r="H45" s="26"/>
      <c r="I45" s="170" t="e">
        <f>AVERAGE(E45:H45)</f>
        <v>#DIV/0!</v>
      </c>
      <c r="J45" s="11"/>
      <c r="K45" s="36"/>
      <c r="L45" s="184">
        <v>0</v>
      </c>
      <c r="M45" s="71"/>
      <c r="N45" s="170" t="e">
        <f>AVERAGE(K45)</f>
        <v>#DIV/0!</v>
      </c>
      <c r="O45" s="203" t="e">
        <f>N45-I45</f>
        <v>#DIV/0!</v>
      </c>
      <c r="P45" s="294"/>
    </row>
    <row r="46" spans="1:16" x14ac:dyDescent="0.3">
      <c r="A46" s="37"/>
      <c r="B46" s="38"/>
      <c r="C46" s="39"/>
      <c r="D46" s="11"/>
      <c r="E46" s="12"/>
      <c r="F46" s="191"/>
      <c r="G46" s="191"/>
      <c r="H46" s="192"/>
      <c r="I46" s="191"/>
      <c r="J46" s="193"/>
      <c r="K46" s="191"/>
      <c r="L46" s="11"/>
      <c r="M46" s="11"/>
      <c r="N46" s="12"/>
      <c r="O46" s="16"/>
      <c r="P46" s="294"/>
    </row>
    <row r="47" spans="1:16" x14ac:dyDescent="0.3">
      <c r="A47" s="37"/>
      <c r="B47" s="38"/>
      <c r="C47" s="39"/>
      <c r="D47" s="11"/>
      <c r="E47" s="12"/>
      <c r="F47" s="12"/>
      <c r="G47" s="12"/>
      <c r="H47" s="26"/>
      <c r="I47" s="13"/>
      <c r="J47" s="11"/>
      <c r="K47" s="11"/>
      <c r="L47" s="11"/>
      <c r="M47" s="11"/>
      <c r="N47" s="13"/>
      <c r="O47" s="16"/>
      <c r="P47" s="11"/>
    </row>
    <row r="48" spans="1:16" x14ac:dyDescent="0.3">
      <c r="A48" s="243" t="s">
        <v>52</v>
      </c>
      <c r="B48" s="244"/>
      <c r="C48" s="245"/>
      <c r="D48" s="16"/>
      <c r="E48" s="12"/>
      <c r="F48" s="12"/>
      <c r="G48" s="12"/>
      <c r="H48" s="26"/>
      <c r="I48" s="16"/>
      <c r="J48" s="16"/>
      <c r="K48" s="16"/>
      <c r="L48" s="16"/>
      <c r="M48" s="16"/>
      <c r="N48" s="16"/>
      <c r="O48" s="16"/>
      <c r="P48" s="16"/>
    </row>
    <row r="49" spans="1:16" x14ac:dyDescent="0.3">
      <c r="A49" s="246" t="s">
        <v>56</v>
      </c>
      <c r="B49" s="247"/>
      <c r="C49" s="248"/>
      <c r="D49" s="11"/>
      <c r="E49" s="12"/>
      <c r="F49" s="12"/>
      <c r="G49" s="12"/>
      <c r="H49" s="31"/>
      <c r="I49" s="31" t="e">
        <f>AVERAGE(E49:H49)</f>
        <v>#DIV/0!</v>
      </c>
      <c r="J49" s="11"/>
      <c r="K49" s="11"/>
      <c r="L49" s="11"/>
      <c r="M49" s="201"/>
      <c r="N49" s="31" t="e">
        <f>AVERAGE(J49:M49)</f>
        <v>#DIV/0!</v>
      </c>
      <c r="O49" s="201" t="e">
        <f>N49-I49</f>
        <v>#DIV/0!</v>
      </c>
      <c r="P49" s="177"/>
    </row>
    <row r="50" spans="1:16" x14ac:dyDescent="0.3">
      <c r="A50" s="40"/>
      <c r="B50" s="41"/>
      <c r="C50" s="42"/>
      <c r="D50" s="11"/>
      <c r="E50" s="12"/>
      <c r="F50" s="12"/>
      <c r="G50" s="12"/>
      <c r="H50" s="26"/>
      <c r="I50" s="26"/>
      <c r="J50" s="11"/>
      <c r="K50" s="11"/>
      <c r="L50" s="11"/>
      <c r="M50" s="16"/>
      <c r="N50" s="26"/>
      <c r="O50" s="16"/>
      <c r="P50" s="11"/>
    </row>
    <row r="51" spans="1:16" x14ac:dyDescent="0.3">
      <c r="A51" s="246" t="s">
        <v>57</v>
      </c>
      <c r="B51" s="247"/>
      <c r="C51" s="248"/>
      <c r="D51" s="11"/>
      <c r="E51" s="12"/>
      <c r="F51" s="12"/>
      <c r="G51" s="12"/>
      <c r="H51" s="31"/>
      <c r="I51" s="31" t="e">
        <f>AVERAGE(E51:H51)</f>
        <v>#DIV/0!</v>
      </c>
      <c r="J51" s="11"/>
      <c r="K51" s="11"/>
      <c r="L51" s="11"/>
      <c r="M51" s="201"/>
      <c r="N51" s="31" t="e">
        <f>AVERAGE(J51:M51)</f>
        <v>#DIV/0!</v>
      </c>
      <c r="O51" s="201" t="e">
        <f>N51-I51</f>
        <v>#DIV/0!</v>
      </c>
      <c r="P51" s="177"/>
    </row>
    <row r="52" spans="1:16" x14ac:dyDescent="0.3">
      <c r="A52" s="40"/>
      <c r="B52" s="41"/>
      <c r="C52" s="42"/>
      <c r="D52" s="11"/>
      <c r="E52" s="12"/>
      <c r="F52" s="12"/>
      <c r="G52" s="12"/>
      <c r="H52" s="26"/>
      <c r="I52" s="26"/>
      <c r="J52" s="11"/>
      <c r="K52" s="11"/>
      <c r="L52" s="11"/>
      <c r="M52" s="16"/>
      <c r="N52" s="26"/>
      <c r="O52" s="16"/>
      <c r="P52" s="11"/>
    </row>
    <row r="53" spans="1:16" x14ac:dyDescent="0.3">
      <c r="A53" s="246" t="s">
        <v>58</v>
      </c>
      <c r="B53" s="247"/>
      <c r="C53" s="248"/>
      <c r="D53" s="11"/>
      <c r="E53" s="12"/>
      <c r="F53" s="12"/>
      <c r="G53" s="12"/>
      <c r="H53" s="31"/>
      <c r="I53" s="31" t="e">
        <f>AVERAGE(E53:H53)</f>
        <v>#DIV/0!</v>
      </c>
      <c r="J53" s="11"/>
      <c r="K53" s="11"/>
      <c r="L53" s="11"/>
      <c r="M53" s="36"/>
      <c r="N53" s="31" t="e">
        <f>AVERAGE(J53:M53)</f>
        <v>#DIV/0!</v>
      </c>
      <c r="O53" s="201" t="e">
        <f>N53-I53</f>
        <v>#DIV/0!</v>
      </c>
      <c r="P53" s="177"/>
    </row>
    <row r="54" spans="1:16" x14ac:dyDescent="0.3">
      <c r="A54" s="214"/>
      <c r="B54" s="215"/>
      <c r="C54" s="216"/>
      <c r="D54" s="11"/>
      <c r="E54" s="12"/>
      <c r="F54" s="12"/>
      <c r="G54" s="12"/>
      <c r="H54" s="26"/>
      <c r="I54" s="26"/>
      <c r="J54" s="11"/>
      <c r="K54" s="11"/>
      <c r="L54" s="11"/>
      <c r="M54" s="12"/>
      <c r="N54" s="26"/>
      <c r="O54" s="11"/>
      <c r="P54" s="11"/>
    </row>
    <row r="55" spans="1:16" x14ac:dyDescent="0.3">
      <c r="A55" s="224" t="s">
        <v>59</v>
      </c>
      <c r="B55" s="225"/>
      <c r="C55" s="226"/>
      <c r="D55" s="11"/>
      <c r="E55" s="12"/>
      <c r="F55" s="12"/>
      <c r="G55" s="12"/>
      <c r="H55" s="26"/>
      <c r="I55" s="13"/>
      <c r="J55" s="11"/>
      <c r="K55" s="11"/>
      <c r="L55" s="11"/>
      <c r="M55" s="11"/>
      <c r="N55" s="13"/>
      <c r="O55" s="11"/>
      <c r="P55" s="11"/>
    </row>
    <row r="56" spans="1:16" x14ac:dyDescent="0.3">
      <c r="A56" s="295" t="s">
        <v>67</v>
      </c>
      <c r="B56" s="296"/>
      <c r="C56" s="297"/>
      <c r="D56" s="11"/>
      <c r="E56" s="12"/>
      <c r="F56" s="12"/>
      <c r="G56" s="12"/>
      <c r="H56" s="26"/>
      <c r="I56" s="13"/>
      <c r="J56" s="11"/>
      <c r="K56" s="11"/>
      <c r="L56" s="11"/>
      <c r="M56" s="11"/>
      <c r="N56" s="13"/>
      <c r="O56" s="11"/>
      <c r="P56" s="11"/>
    </row>
    <row r="57" spans="1:16" x14ac:dyDescent="0.3">
      <c r="A57" s="301" t="s">
        <v>68</v>
      </c>
      <c r="B57" s="302"/>
      <c r="C57" s="303"/>
      <c r="D57" s="11"/>
      <c r="E57" s="90"/>
      <c r="F57" s="90"/>
      <c r="G57" s="90"/>
      <c r="H57" s="171"/>
      <c r="I57" s="182">
        <f>SUM(E57:H57)</f>
        <v>0</v>
      </c>
      <c r="J57" s="12"/>
      <c r="K57" s="12"/>
      <c r="L57" s="12"/>
      <c r="M57" s="12"/>
      <c r="N57" s="182">
        <f>SUM(J57:M57)</f>
        <v>0</v>
      </c>
      <c r="O57" s="12">
        <f>N57-(E57+F57+G57+H57)</f>
        <v>0</v>
      </c>
      <c r="P57" s="89"/>
    </row>
    <row r="58" spans="1:16" x14ac:dyDescent="0.3">
      <c r="A58" s="214"/>
      <c r="B58" s="215"/>
      <c r="C58" s="216"/>
      <c r="D58" s="11"/>
      <c r="E58" s="90"/>
      <c r="F58" s="90"/>
      <c r="G58" s="90"/>
      <c r="H58" s="171"/>
      <c r="I58" s="172"/>
      <c r="J58" s="11"/>
      <c r="K58" s="11"/>
      <c r="L58" s="11"/>
      <c r="M58" s="11"/>
      <c r="N58" s="172"/>
      <c r="O58" s="16"/>
      <c r="P58" s="11"/>
    </row>
    <row r="59" spans="1:16" x14ac:dyDescent="0.3">
      <c r="A59" s="301" t="s">
        <v>69</v>
      </c>
      <c r="B59" s="302"/>
      <c r="C59" s="303"/>
      <c r="D59" s="11"/>
      <c r="E59" s="90"/>
      <c r="F59" s="90"/>
      <c r="G59" s="90"/>
      <c r="H59" s="171"/>
      <c r="I59" s="182">
        <f>SUM(E59:H59)</f>
        <v>0</v>
      </c>
      <c r="J59" s="12"/>
      <c r="K59" s="12"/>
      <c r="L59" s="12"/>
      <c r="M59" s="12"/>
      <c r="N59" s="182">
        <f>SUM(J59:M59)</f>
        <v>0</v>
      </c>
      <c r="O59" s="12">
        <f>N59-(E59+F59+G59+H59)</f>
        <v>0</v>
      </c>
      <c r="P59" s="89"/>
    </row>
    <row r="60" spans="1:16" x14ac:dyDescent="0.3">
      <c r="A60" s="214"/>
      <c r="B60" s="215"/>
      <c r="C60" s="216"/>
      <c r="D60" s="11"/>
      <c r="E60" s="90"/>
      <c r="F60" s="90"/>
      <c r="G60" s="90"/>
      <c r="H60" s="171"/>
      <c r="I60" s="172"/>
      <c r="J60" s="11"/>
      <c r="K60" s="11"/>
      <c r="L60" s="11"/>
      <c r="M60" s="11"/>
      <c r="N60" s="172"/>
      <c r="O60" s="11"/>
      <c r="P60" s="11"/>
    </row>
    <row r="61" spans="1:16" x14ac:dyDescent="0.3">
      <c r="A61" s="230" t="s">
        <v>66</v>
      </c>
      <c r="B61" s="231"/>
      <c r="C61" s="232"/>
      <c r="D61" s="16"/>
      <c r="E61" s="90"/>
      <c r="F61" s="173"/>
      <c r="G61" s="173"/>
      <c r="H61" s="174"/>
      <c r="I61" s="173">
        <f>SUM(E61:H61)</f>
        <v>0</v>
      </c>
      <c r="J61" s="12"/>
      <c r="K61" s="61"/>
      <c r="L61" s="61"/>
      <c r="M61" s="61"/>
      <c r="N61" s="173">
        <f>SUM(J61:M61)</f>
        <v>0</v>
      </c>
      <c r="O61" s="61">
        <f>N61-(E61+F61+G61+H61)</f>
        <v>0</v>
      </c>
      <c r="P61" s="88"/>
    </row>
    <row r="62" spans="1:16" x14ac:dyDescent="0.3">
      <c r="A62" s="214"/>
      <c r="B62" s="215"/>
      <c r="C62" s="216"/>
      <c r="D62" s="16"/>
      <c r="E62" s="57"/>
      <c r="F62" s="57"/>
      <c r="G62" s="57"/>
      <c r="H62" s="58"/>
      <c r="I62" s="59"/>
      <c r="J62" s="16"/>
      <c r="K62" s="16"/>
      <c r="L62" s="16"/>
      <c r="M62" s="16"/>
      <c r="N62" s="59"/>
      <c r="O62" s="16"/>
      <c r="P62" s="16"/>
    </row>
    <row r="63" spans="1:16" x14ac:dyDescent="0.3">
      <c r="A63" s="295" t="s">
        <v>70</v>
      </c>
      <c r="B63" s="296"/>
      <c r="C63" s="297"/>
      <c r="D63" s="11"/>
      <c r="E63" s="12"/>
      <c r="F63" s="12"/>
      <c r="G63" s="12"/>
      <c r="H63" s="26"/>
      <c r="I63" s="13"/>
      <c r="J63" s="11"/>
      <c r="K63" s="11"/>
      <c r="L63" s="11"/>
      <c r="M63" s="11"/>
      <c r="N63" s="13"/>
      <c r="O63" s="11"/>
      <c r="P63" s="11"/>
    </row>
    <row r="64" spans="1:16" x14ac:dyDescent="0.3">
      <c r="A64" s="301" t="s">
        <v>74</v>
      </c>
      <c r="B64" s="302"/>
      <c r="C64" s="303"/>
      <c r="D64" s="11"/>
      <c r="E64" s="61"/>
      <c r="F64" s="61"/>
      <c r="G64" s="61"/>
      <c r="H64" s="61"/>
      <c r="I64" s="179">
        <f>SUM(E64:H64)</f>
        <v>0</v>
      </c>
      <c r="J64" s="61"/>
      <c r="K64" s="61"/>
      <c r="L64" s="61"/>
      <c r="M64" s="61"/>
      <c r="N64" s="179">
        <f>SUM(J64:M64)</f>
        <v>0</v>
      </c>
      <c r="O64" s="61">
        <f>N64-(E64+F64+G64+H64)</f>
        <v>0</v>
      </c>
      <c r="P64" s="91"/>
    </row>
    <row r="65" spans="1:18" x14ac:dyDescent="0.3">
      <c r="A65" s="301" t="s">
        <v>71</v>
      </c>
      <c r="B65" s="302"/>
      <c r="C65" s="303"/>
      <c r="D65" s="11"/>
      <c r="E65" s="61"/>
      <c r="F65" s="61"/>
      <c r="G65" s="61"/>
      <c r="H65" s="63"/>
      <c r="I65" s="179">
        <f t="shared" ref="I65:I68" si="3">SUM(E65:H65)</f>
        <v>0</v>
      </c>
      <c r="J65" s="61"/>
      <c r="K65" s="61"/>
      <c r="L65" s="61"/>
      <c r="M65" s="61"/>
      <c r="N65" s="179">
        <f t="shared" ref="N65:N68" si="4">SUM(J65:M65)</f>
        <v>0</v>
      </c>
      <c r="O65" s="61">
        <f>N65-(E65+F65+G65+H65)</f>
        <v>0</v>
      </c>
      <c r="P65" s="91"/>
    </row>
    <row r="66" spans="1:18" x14ac:dyDescent="0.3">
      <c r="A66" s="301" t="s">
        <v>72</v>
      </c>
      <c r="B66" s="302"/>
      <c r="C66" s="303"/>
      <c r="D66" s="11"/>
      <c r="E66" s="12"/>
      <c r="F66" s="12"/>
      <c r="G66" s="12"/>
      <c r="H66" s="26"/>
      <c r="I66" s="179">
        <f t="shared" si="3"/>
        <v>0</v>
      </c>
      <c r="J66" s="61"/>
      <c r="K66" s="178"/>
      <c r="L66" s="12"/>
      <c r="M66" s="178"/>
      <c r="N66" s="179">
        <f t="shared" si="4"/>
        <v>0</v>
      </c>
      <c r="O66" s="61">
        <f>N66-(E66+F66+G66)</f>
        <v>0</v>
      </c>
      <c r="P66" s="91"/>
    </row>
    <row r="67" spans="1:18" x14ac:dyDescent="0.3">
      <c r="A67" s="43"/>
      <c r="B67" s="44"/>
      <c r="C67" s="45"/>
      <c r="D67" s="11"/>
      <c r="E67" s="12"/>
      <c r="F67" s="12"/>
      <c r="G67" s="12"/>
      <c r="H67" s="26"/>
      <c r="I67" s="62"/>
      <c r="J67" s="11"/>
      <c r="K67" s="11"/>
      <c r="L67" s="11"/>
      <c r="M67" s="11"/>
      <c r="N67" s="62"/>
      <c r="O67" s="11"/>
      <c r="P67" s="11"/>
    </row>
    <row r="68" spans="1:18" x14ac:dyDescent="0.3">
      <c r="A68" s="298" t="s">
        <v>73</v>
      </c>
      <c r="B68" s="299"/>
      <c r="C68" s="300"/>
      <c r="D68" s="11"/>
      <c r="E68" s="12"/>
      <c r="F68" s="12"/>
      <c r="G68" s="12"/>
      <c r="H68" s="26"/>
      <c r="I68" s="179">
        <f t="shared" si="3"/>
        <v>0</v>
      </c>
      <c r="J68" s="178"/>
      <c r="K68" s="12"/>
      <c r="L68" s="178"/>
      <c r="M68" s="178"/>
      <c r="N68" s="179">
        <f t="shared" si="4"/>
        <v>0</v>
      </c>
      <c r="O68" s="61">
        <f>N68-I68</f>
        <v>0</v>
      </c>
      <c r="P68" s="88"/>
    </row>
    <row r="69" spans="1:18" x14ac:dyDescent="0.3">
      <c r="A69" s="214"/>
      <c r="B69" s="215"/>
      <c r="C69" s="216"/>
      <c r="D69" s="11"/>
      <c r="E69" s="12"/>
      <c r="F69" s="12"/>
      <c r="G69" s="12"/>
      <c r="H69" s="26"/>
      <c r="I69" s="13"/>
      <c r="J69" s="11"/>
      <c r="K69" s="11"/>
      <c r="L69" s="11"/>
      <c r="M69" s="11"/>
      <c r="N69" s="13"/>
      <c r="O69" s="11"/>
      <c r="P69" s="11"/>
    </row>
    <row r="70" spans="1:18" x14ac:dyDescent="0.3">
      <c r="A70" s="208" t="s">
        <v>42</v>
      </c>
      <c r="B70" s="209"/>
      <c r="C70" s="210"/>
      <c r="D70" s="19">
        <v>310300000000000</v>
      </c>
      <c r="E70" s="34"/>
      <c r="F70" s="34"/>
      <c r="G70" s="34"/>
      <c r="H70" s="29"/>
      <c r="I70" s="51"/>
      <c r="J70" s="9"/>
      <c r="K70" s="9"/>
      <c r="L70" s="9"/>
      <c r="M70" s="9"/>
      <c r="N70" s="51"/>
      <c r="O70" s="9"/>
      <c r="P70" s="9"/>
    </row>
    <row r="71" spans="1:18" x14ac:dyDescent="0.3">
      <c r="A71" s="211" t="s">
        <v>23</v>
      </c>
      <c r="B71" s="212"/>
      <c r="C71" s="213"/>
      <c r="D71" s="11"/>
      <c r="E71" s="12"/>
      <c r="F71" s="12"/>
      <c r="G71" s="12"/>
      <c r="H71" s="26"/>
      <c r="I71" s="13"/>
      <c r="J71" s="11"/>
      <c r="K71" s="11"/>
      <c r="L71" s="11"/>
      <c r="M71" s="11"/>
      <c r="N71" s="13"/>
      <c r="O71" s="11"/>
      <c r="P71" s="11"/>
    </row>
    <row r="72" spans="1:18" x14ac:dyDescent="0.3">
      <c r="A72" s="243" t="s">
        <v>77</v>
      </c>
      <c r="B72" s="244"/>
      <c r="C72" s="245"/>
      <c r="D72" s="16"/>
      <c r="E72" s="12"/>
      <c r="F72" s="12"/>
      <c r="G72" s="12"/>
      <c r="H72" s="26"/>
      <c r="I72" s="16"/>
      <c r="J72" s="16"/>
      <c r="K72" s="16"/>
      <c r="L72" s="16"/>
      <c r="M72" s="16"/>
      <c r="N72" s="16"/>
      <c r="O72" s="16"/>
      <c r="P72" s="16"/>
    </row>
    <row r="73" spans="1:18" x14ac:dyDescent="0.3">
      <c r="A73" s="246" t="s">
        <v>78</v>
      </c>
      <c r="B73" s="247"/>
      <c r="C73" s="248"/>
      <c r="D73" s="11"/>
      <c r="E73" s="12"/>
      <c r="F73" s="12"/>
      <c r="G73" s="12"/>
      <c r="H73" s="65"/>
      <c r="I73" s="67" t="e">
        <f>AVERAGE(E73:H73)</f>
        <v>#DIV/0!</v>
      </c>
      <c r="J73" s="11"/>
      <c r="K73" s="11"/>
      <c r="L73" s="11"/>
      <c r="M73" s="198"/>
      <c r="N73" s="67" t="e">
        <f>AVERAGE(J73:M73)</f>
        <v>#DIV/0!</v>
      </c>
      <c r="O73" s="198" t="e">
        <f t="shared" ref="O73:O81" si="5">N73-I73</f>
        <v>#DIV/0!</v>
      </c>
      <c r="P73" s="177"/>
      <c r="R73" s="2" t="s">
        <v>228</v>
      </c>
    </row>
    <row r="74" spans="1:18" x14ac:dyDescent="0.3">
      <c r="A74" s="40"/>
      <c r="B74" s="41"/>
      <c r="C74" s="42"/>
      <c r="D74" s="11"/>
      <c r="E74" s="12"/>
      <c r="F74" s="12"/>
      <c r="G74" s="12"/>
      <c r="H74" s="63"/>
      <c r="I74" s="62">
        <f>SUM(E74:H74)</f>
        <v>0</v>
      </c>
      <c r="J74" s="11"/>
      <c r="K74" s="11"/>
      <c r="L74" s="11"/>
      <c r="M74" s="189"/>
      <c r="N74" s="62">
        <f>SUM(J74:M74)</f>
        <v>0</v>
      </c>
      <c r="O74" s="61">
        <f t="shared" si="5"/>
        <v>0</v>
      </c>
      <c r="P74" s="177"/>
      <c r="R74" s="2" t="s">
        <v>228</v>
      </c>
    </row>
    <row r="75" spans="1:18" x14ac:dyDescent="0.3">
      <c r="A75" s="258" t="s">
        <v>76</v>
      </c>
      <c r="B75" s="259"/>
      <c r="C75" s="260"/>
      <c r="D75" s="11"/>
      <c r="E75" s="12"/>
      <c r="F75" s="12"/>
      <c r="G75" s="12"/>
      <c r="H75" s="65"/>
      <c r="I75" s="176" t="e">
        <f>AVERAGE(E75:H75)</f>
        <v>#DIV/0!</v>
      </c>
      <c r="J75" s="11"/>
      <c r="K75" s="11"/>
      <c r="L75" s="11"/>
      <c r="M75" s="196"/>
      <c r="N75" s="176" t="e">
        <f>AVERAGE(J75:M75)</f>
        <v>#DIV/0!</v>
      </c>
      <c r="O75" s="196" t="e">
        <f t="shared" si="5"/>
        <v>#DIV/0!</v>
      </c>
      <c r="P75" s="177"/>
      <c r="R75" s="2" t="s">
        <v>228</v>
      </c>
    </row>
    <row r="76" spans="1:18" x14ac:dyDescent="0.3">
      <c r="A76" s="211" t="s">
        <v>75</v>
      </c>
      <c r="B76" s="212"/>
      <c r="C76" s="213"/>
      <c r="D76" s="11"/>
      <c r="E76" s="12"/>
      <c r="F76" s="12"/>
      <c r="G76" s="12"/>
      <c r="H76" s="63"/>
      <c r="I76" s="62">
        <f>SUM(E76:H76)</f>
        <v>0</v>
      </c>
      <c r="J76" s="11"/>
      <c r="K76" s="11"/>
      <c r="L76" s="11"/>
      <c r="M76" s="189"/>
      <c r="N76" s="62">
        <f>SUM(J76:M76)</f>
        <v>0</v>
      </c>
      <c r="O76" s="61">
        <f t="shared" si="5"/>
        <v>0</v>
      </c>
      <c r="P76" s="177"/>
      <c r="R76" s="2" t="s">
        <v>228</v>
      </c>
    </row>
    <row r="77" spans="1:18" x14ac:dyDescent="0.3">
      <c r="A77" s="246" t="s">
        <v>79</v>
      </c>
      <c r="B77" s="247"/>
      <c r="C77" s="248"/>
      <c r="D77" s="11"/>
      <c r="E77" s="12"/>
      <c r="F77" s="12"/>
      <c r="G77" s="12"/>
      <c r="H77" s="65"/>
      <c r="I77" s="67" t="e">
        <f>AVERAGE(E77:H77)</f>
        <v>#DIV/0!</v>
      </c>
      <c r="J77" s="11"/>
      <c r="K77" s="11"/>
      <c r="L77" s="11"/>
      <c r="M77" s="198"/>
      <c r="N77" s="67" t="e">
        <f>AVERAGE(J77:M77)</f>
        <v>#DIV/0!</v>
      </c>
      <c r="O77" s="198" t="e">
        <f t="shared" si="5"/>
        <v>#DIV/0!</v>
      </c>
      <c r="P77" s="177"/>
      <c r="R77" s="2" t="s">
        <v>228</v>
      </c>
    </row>
    <row r="78" spans="1:18" x14ac:dyDescent="0.3">
      <c r="A78" s="40"/>
      <c r="B78" s="41"/>
      <c r="C78" s="42"/>
      <c r="D78" s="11"/>
      <c r="E78" s="12"/>
      <c r="F78" s="12"/>
      <c r="G78" s="12"/>
      <c r="H78" s="63"/>
      <c r="I78" s="62">
        <f>SUM(E78:H78)</f>
        <v>0</v>
      </c>
      <c r="J78" s="11"/>
      <c r="K78" s="11"/>
      <c r="L78" s="11"/>
      <c r="M78" s="189"/>
      <c r="N78" s="62">
        <f>SUM(J78:M78)</f>
        <v>0</v>
      </c>
      <c r="O78" s="61">
        <f t="shared" si="5"/>
        <v>0</v>
      </c>
      <c r="P78" s="177"/>
      <c r="R78" s="2" t="s">
        <v>228</v>
      </c>
    </row>
    <row r="79" spans="1:18" x14ac:dyDescent="0.3">
      <c r="A79" s="246" t="s">
        <v>81</v>
      </c>
      <c r="B79" s="247"/>
      <c r="C79" s="248"/>
      <c r="D79" s="11"/>
      <c r="E79" s="12"/>
      <c r="F79" s="12"/>
      <c r="G79" s="12"/>
      <c r="H79" s="65"/>
      <c r="I79" s="67" t="e">
        <f>AVERAGE(E79:H79)</f>
        <v>#DIV/0!</v>
      </c>
      <c r="J79" s="11"/>
      <c r="K79" s="11"/>
      <c r="L79" s="11"/>
      <c r="M79" s="198"/>
      <c r="N79" s="199" t="e">
        <f>AVERAGE(J79:M79)</f>
        <v>#DIV/0!</v>
      </c>
      <c r="O79" s="198" t="e">
        <f t="shared" si="5"/>
        <v>#DIV/0!</v>
      </c>
      <c r="P79" s="177"/>
      <c r="R79" s="2" t="s">
        <v>228</v>
      </c>
    </row>
    <row r="80" spans="1:18" x14ac:dyDescent="0.3">
      <c r="A80" s="37"/>
      <c r="B80" s="38"/>
      <c r="C80" s="39"/>
      <c r="D80" s="11"/>
      <c r="E80" s="12"/>
      <c r="F80" s="12"/>
      <c r="G80" s="12"/>
      <c r="H80" s="63"/>
      <c r="I80" s="62">
        <f>SUM(E80:H80)</f>
        <v>0</v>
      </c>
      <c r="J80" s="11"/>
      <c r="K80" s="11"/>
      <c r="L80" s="11"/>
      <c r="M80" s="189"/>
      <c r="N80" s="62">
        <f>SUM(J80:M80)</f>
        <v>0</v>
      </c>
      <c r="O80" s="61">
        <f t="shared" si="5"/>
        <v>0</v>
      </c>
      <c r="P80" s="177"/>
      <c r="R80" s="2" t="s">
        <v>228</v>
      </c>
    </row>
    <row r="81" spans="1:16" x14ac:dyDescent="0.3">
      <c r="A81" s="261" t="s">
        <v>80</v>
      </c>
      <c r="B81" s="262"/>
      <c r="C81" s="263"/>
      <c r="D81" s="16"/>
      <c r="E81" s="12"/>
      <c r="F81" s="12"/>
      <c r="G81" s="12"/>
      <c r="H81" s="64"/>
      <c r="I81" s="66" t="e">
        <f>AVERAGE(E81:H81)</f>
        <v>#DIV/0!</v>
      </c>
      <c r="J81" s="16"/>
      <c r="K81" s="16"/>
      <c r="L81" s="16"/>
      <c r="M81" s="102"/>
      <c r="N81" s="66" t="e">
        <f>AVERAGE(J81:M81)</f>
        <v>#DIV/0!</v>
      </c>
      <c r="O81" s="102" t="e">
        <f t="shared" si="5"/>
        <v>#DIV/0!</v>
      </c>
      <c r="P81" s="177"/>
    </row>
    <row r="82" spans="1:16" x14ac:dyDescent="0.3">
      <c r="A82" s="214"/>
      <c r="B82" s="215"/>
      <c r="C82" s="216"/>
      <c r="D82" s="11"/>
      <c r="E82" s="12"/>
      <c r="F82" s="12"/>
      <c r="G82" s="12"/>
      <c r="H82" s="26"/>
      <c r="I82" s="13"/>
      <c r="J82" s="11"/>
      <c r="K82" s="11"/>
      <c r="L82" s="11"/>
      <c r="M82" s="11"/>
      <c r="N82" s="194"/>
      <c r="O82" s="11"/>
      <c r="P82" s="11"/>
    </row>
    <row r="83" spans="1:16" x14ac:dyDescent="0.3">
      <c r="A83" s="264" t="s">
        <v>59</v>
      </c>
      <c r="B83" s="265"/>
      <c r="C83" s="266"/>
      <c r="D83" s="11"/>
      <c r="E83" s="12"/>
      <c r="F83" s="12"/>
      <c r="G83" s="12"/>
      <c r="H83" s="26"/>
      <c r="I83" s="13"/>
      <c r="J83" s="11"/>
      <c r="K83" s="11"/>
      <c r="L83" s="11"/>
      <c r="M83" s="11"/>
      <c r="N83" s="194"/>
      <c r="O83" s="11"/>
      <c r="P83" s="11"/>
    </row>
    <row r="84" spans="1:16" x14ac:dyDescent="0.3">
      <c r="A84" s="264" t="s">
        <v>82</v>
      </c>
      <c r="B84" s="265"/>
      <c r="C84" s="266"/>
      <c r="D84" s="11"/>
      <c r="E84" s="12"/>
      <c r="F84" s="12"/>
      <c r="G84" s="12"/>
      <c r="H84" s="26"/>
      <c r="I84" s="13"/>
      <c r="J84" s="11"/>
      <c r="K84" s="11"/>
      <c r="L84" s="11"/>
      <c r="M84" s="11"/>
      <c r="N84" s="194"/>
      <c r="O84" s="11"/>
      <c r="P84" s="11"/>
    </row>
    <row r="85" spans="1:16" x14ac:dyDescent="0.3">
      <c r="A85" s="246" t="s">
        <v>83</v>
      </c>
      <c r="B85" s="247"/>
      <c r="C85" s="248"/>
      <c r="D85" s="11"/>
      <c r="E85" s="12"/>
      <c r="F85" s="12"/>
      <c r="G85" s="26"/>
      <c r="H85" s="26"/>
      <c r="I85" s="52">
        <f>SUM(E85:H85)</f>
        <v>0</v>
      </c>
      <c r="J85" s="11"/>
      <c r="K85" s="11"/>
      <c r="L85" s="11"/>
      <c r="M85" s="12"/>
      <c r="N85" s="52">
        <f>SUM(J85:M85)</f>
        <v>0</v>
      </c>
      <c r="O85" s="12">
        <f>N85-I85</f>
        <v>0</v>
      </c>
      <c r="P85" s="177"/>
    </row>
    <row r="86" spans="1:16" x14ac:dyDescent="0.3">
      <c r="A86" s="246" t="s">
        <v>84</v>
      </c>
      <c r="B86" s="247"/>
      <c r="C86" s="248"/>
      <c r="D86" s="11"/>
      <c r="E86" s="12"/>
      <c r="F86" s="12"/>
      <c r="G86" s="26"/>
      <c r="H86" s="26"/>
      <c r="I86" s="13">
        <f t="shared" ref="I86:I87" si="6">SUM(E86:H86)</f>
        <v>0</v>
      </c>
      <c r="J86" s="11"/>
      <c r="K86" s="11"/>
      <c r="L86" s="11"/>
      <c r="M86" s="12"/>
      <c r="N86" s="13">
        <f t="shared" ref="N86:N88" si="7">SUM(J86:M86)</f>
        <v>0</v>
      </c>
      <c r="O86" s="12">
        <f t="shared" ref="O86:O89" si="8">N86-I86</f>
        <v>0</v>
      </c>
      <c r="P86" s="177"/>
    </row>
    <row r="87" spans="1:16" x14ac:dyDescent="0.3">
      <c r="A87" s="249" t="s">
        <v>85</v>
      </c>
      <c r="B87" s="250"/>
      <c r="C87" s="251"/>
      <c r="D87" s="11"/>
      <c r="E87" s="12"/>
      <c r="F87" s="12"/>
      <c r="G87" s="26"/>
      <c r="H87" s="26"/>
      <c r="I87" s="52">
        <f t="shared" si="6"/>
        <v>0</v>
      </c>
      <c r="J87" s="11"/>
      <c r="K87" s="11"/>
      <c r="L87" s="61"/>
      <c r="M87" s="178"/>
      <c r="N87" s="52">
        <f t="shared" si="7"/>
        <v>0</v>
      </c>
      <c r="O87" s="12">
        <f t="shared" si="8"/>
        <v>0</v>
      </c>
      <c r="P87" s="88"/>
    </row>
    <row r="88" spans="1:16" x14ac:dyDescent="0.3">
      <c r="A88" s="252" t="s">
        <v>112</v>
      </c>
      <c r="B88" s="253"/>
      <c r="C88" s="254"/>
      <c r="D88" s="11"/>
      <c r="E88" s="12"/>
      <c r="F88" s="12"/>
      <c r="G88" s="63"/>
      <c r="H88" s="26"/>
      <c r="I88" s="52">
        <f>SUM(E88:H88)</f>
        <v>0</v>
      </c>
      <c r="J88" s="11"/>
      <c r="K88" s="11"/>
      <c r="L88" s="61"/>
      <c r="M88" s="11"/>
      <c r="N88" s="52">
        <f t="shared" si="7"/>
        <v>0</v>
      </c>
      <c r="O88" s="12">
        <f t="shared" si="8"/>
        <v>0</v>
      </c>
      <c r="P88" s="88"/>
    </row>
    <row r="89" spans="1:16" x14ac:dyDescent="0.3">
      <c r="A89" s="252" t="s">
        <v>65</v>
      </c>
      <c r="B89" s="253"/>
      <c r="C89" s="254"/>
      <c r="D89" s="11"/>
      <c r="E89" s="12"/>
      <c r="F89" s="12"/>
      <c r="G89" s="68"/>
      <c r="H89" s="68"/>
      <c r="I89" s="66" t="e">
        <f>AVERAGE(E89:H89)</f>
        <v>#DIV/0!</v>
      </c>
      <c r="J89" s="11"/>
      <c r="K89" s="11"/>
      <c r="L89" s="71"/>
      <c r="M89" s="11"/>
      <c r="N89" s="66" t="e">
        <f>AVERAGE(J89:M89)</f>
        <v>#DIV/0!</v>
      </c>
      <c r="O89" s="94" t="e">
        <f t="shared" si="8"/>
        <v>#DIV/0!</v>
      </c>
      <c r="P89" s="177"/>
    </row>
    <row r="90" spans="1:16" x14ac:dyDescent="0.3">
      <c r="A90" s="211"/>
      <c r="B90" s="212"/>
      <c r="C90" s="213"/>
      <c r="D90" s="11"/>
      <c r="E90" s="12"/>
      <c r="F90" s="12"/>
      <c r="G90" s="12"/>
      <c r="H90" s="26"/>
      <c r="I90" s="16"/>
      <c r="J90" s="11"/>
      <c r="K90" s="11"/>
      <c r="L90" s="11"/>
      <c r="M90" s="11"/>
      <c r="N90" s="16"/>
      <c r="O90" s="11"/>
      <c r="P90" s="11"/>
    </row>
    <row r="91" spans="1:16" x14ac:dyDescent="0.3">
      <c r="A91" s="208" t="s">
        <v>41</v>
      </c>
      <c r="B91" s="209"/>
      <c r="C91" s="210"/>
      <c r="D91" s="19">
        <v>310400000000000</v>
      </c>
      <c r="E91" s="34"/>
      <c r="F91" s="34"/>
      <c r="G91" s="34"/>
      <c r="H91" s="29"/>
      <c r="I91" s="51"/>
      <c r="J91" s="9"/>
      <c r="K91" s="9"/>
      <c r="L91" s="9"/>
      <c r="M91" s="9"/>
      <c r="N91" s="51"/>
      <c r="O91" s="9"/>
      <c r="P91" s="9"/>
    </row>
    <row r="92" spans="1:16" x14ac:dyDescent="0.3">
      <c r="A92" s="211" t="s">
        <v>86</v>
      </c>
      <c r="B92" s="212"/>
      <c r="C92" s="213"/>
      <c r="D92" s="11"/>
      <c r="E92" s="12"/>
      <c r="F92" s="12"/>
      <c r="G92" s="12"/>
      <c r="H92" s="26"/>
      <c r="I92" s="13"/>
      <c r="J92" s="11"/>
      <c r="K92" s="11"/>
      <c r="L92" s="11"/>
      <c r="M92" s="11"/>
      <c r="N92" s="13"/>
      <c r="O92" s="11"/>
      <c r="P92" s="11"/>
    </row>
    <row r="93" spans="1:16" x14ac:dyDescent="0.3">
      <c r="A93" s="243" t="s">
        <v>87</v>
      </c>
      <c r="B93" s="244"/>
      <c r="C93" s="245"/>
      <c r="D93" s="16"/>
      <c r="E93" s="12"/>
      <c r="F93" s="12"/>
      <c r="G93" s="12"/>
      <c r="H93" s="26"/>
      <c r="I93" s="16"/>
      <c r="J93" s="16"/>
      <c r="K93" s="16"/>
      <c r="L93" s="16"/>
      <c r="M93" s="16"/>
      <c r="N93" s="16"/>
      <c r="O93" s="16"/>
      <c r="P93" s="16"/>
    </row>
    <row r="94" spans="1:16" x14ac:dyDescent="0.3">
      <c r="A94" s="246" t="s">
        <v>56</v>
      </c>
      <c r="B94" s="247"/>
      <c r="C94" s="248"/>
      <c r="D94" s="11"/>
      <c r="E94" s="12"/>
      <c r="F94" s="12"/>
      <c r="G94" s="12"/>
      <c r="H94" s="69"/>
      <c r="I94" s="69" t="e">
        <f>AVERAGE(E94:H94)</f>
        <v>#DIV/0!</v>
      </c>
      <c r="J94" s="11"/>
      <c r="K94" s="11"/>
      <c r="L94" s="11"/>
      <c r="M94" s="197"/>
      <c r="N94" s="69" t="e">
        <f>AVERAGE(J94:M94)</f>
        <v>#DIV/0!</v>
      </c>
      <c r="O94" s="201" t="e">
        <f>N94-I94</f>
        <v>#DIV/0!</v>
      </c>
      <c r="P94" s="177"/>
    </row>
    <row r="95" spans="1:16" x14ac:dyDescent="0.3">
      <c r="A95" s="246" t="s">
        <v>88</v>
      </c>
      <c r="B95" s="247"/>
      <c r="C95" s="248"/>
      <c r="D95" s="11"/>
      <c r="E95" s="12"/>
      <c r="F95" s="12"/>
      <c r="G95" s="12"/>
      <c r="H95" s="31"/>
      <c r="I95" s="31" t="e">
        <f>AVERAGE(E95:H95)</f>
        <v>#DIV/0!</v>
      </c>
      <c r="J95" s="11"/>
      <c r="K95" s="11"/>
      <c r="L95" s="11"/>
      <c r="M95" s="36"/>
      <c r="N95" s="31" t="e">
        <f>AVERAGE(J95:M95)</f>
        <v>#DIV/0!</v>
      </c>
      <c r="O95" s="201" t="e">
        <f>N95-I95</f>
        <v>#DIV/0!</v>
      </c>
      <c r="P95" s="177"/>
    </row>
    <row r="96" spans="1:16" x14ac:dyDescent="0.3">
      <c r="A96" s="243" t="s">
        <v>89</v>
      </c>
      <c r="B96" s="244"/>
      <c r="C96" s="245"/>
      <c r="D96" s="16"/>
      <c r="E96" s="12"/>
      <c r="F96" s="12"/>
      <c r="G96" s="12"/>
      <c r="H96" s="69"/>
      <c r="I96" s="69"/>
      <c r="J96" s="16"/>
      <c r="K96" s="16"/>
      <c r="L96" s="16"/>
      <c r="M96" s="185"/>
      <c r="N96" s="69"/>
      <c r="O96" s="16"/>
      <c r="P96" s="16"/>
    </row>
    <row r="97" spans="1:16" x14ac:dyDescent="0.3">
      <c r="A97" s="246" t="s">
        <v>56</v>
      </c>
      <c r="B97" s="247"/>
      <c r="C97" s="248"/>
      <c r="D97" s="11"/>
      <c r="E97" s="12"/>
      <c r="F97" s="12"/>
      <c r="G97" s="12"/>
      <c r="H97" s="31"/>
      <c r="I97" s="31" t="e">
        <f>AVERAGE(E97:H97)</f>
        <v>#DIV/0!</v>
      </c>
      <c r="J97" s="11"/>
      <c r="K97" s="11"/>
      <c r="L97" s="11"/>
      <c r="M97" s="36"/>
      <c r="N97" s="31" t="e">
        <f>AVERAGE(J97:M97)</f>
        <v>#DIV/0!</v>
      </c>
      <c r="O97" s="201" t="e">
        <f>N97-I97</f>
        <v>#DIV/0!</v>
      </c>
      <c r="P97" s="177"/>
    </row>
    <row r="98" spans="1:16" x14ac:dyDescent="0.3">
      <c r="A98" s="246" t="s">
        <v>88</v>
      </c>
      <c r="B98" s="247"/>
      <c r="C98" s="248"/>
      <c r="D98" s="11"/>
      <c r="E98" s="12"/>
      <c r="F98" s="12"/>
      <c r="G98" s="12"/>
      <c r="H98" s="31"/>
      <c r="I98" s="31" t="e">
        <f>AVERAGE(E98:H98)</f>
        <v>#DIV/0!</v>
      </c>
      <c r="J98" s="11"/>
      <c r="K98" s="11"/>
      <c r="L98" s="11"/>
      <c r="M98" s="36"/>
      <c r="N98" s="31" t="e">
        <f>AVERAGE(J98:M98)</f>
        <v>#DIV/0!</v>
      </c>
      <c r="O98" s="201" t="e">
        <f>N98-I98</f>
        <v>#DIV/0!</v>
      </c>
      <c r="P98" s="177"/>
    </row>
    <row r="99" spans="1:16" x14ac:dyDescent="0.3">
      <c r="A99" s="243" t="s">
        <v>90</v>
      </c>
      <c r="B99" s="244"/>
      <c r="C99" s="245"/>
      <c r="D99" s="16"/>
      <c r="E99" s="12"/>
      <c r="F99" s="12"/>
      <c r="G99" s="12"/>
      <c r="H99" s="26"/>
      <c r="I99" s="16"/>
      <c r="J99" s="16"/>
      <c r="K99" s="16"/>
      <c r="L99" s="16"/>
      <c r="M99" s="16"/>
      <c r="N99" s="16"/>
      <c r="O99" s="16"/>
      <c r="P99" s="16"/>
    </row>
    <row r="100" spans="1:16" x14ac:dyDescent="0.3">
      <c r="A100" s="249" t="s">
        <v>91</v>
      </c>
      <c r="B100" s="250"/>
      <c r="C100" s="251"/>
      <c r="D100" s="11"/>
      <c r="E100" s="175"/>
      <c r="F100" s="12"/>
      <c r="G100" s="12"/>
      <c r="H100" s="26"/>
      <c r="I100" s="180" t="e">
        <f>AVERAGE(E100:H100)</f>
        <v>#DIV/0!</v>
      </c>
      <c r="J100" s="180"/>
      <c r="K100" s="178"/>
      <c r="L100" s="178"/>
      <c r="M100" s="178"/>
      <c r="N100" s="180" t="e">
        <f>AVERAGE(J100:M100)</f>
        <v>#DIV/0!</v>
      </c>
      <c r="O100" s="36" t="e">
        <f>N100-I100</f>
        <v>#DIV/0!</v>
      </c>
      <c r="P100" s="91"/>
    </row>
    <row r="101" spans="1:16" x14ac:dyDescent="0.3">
      <c r="A101" s="249" t="s">
        <v>92</v>
      </c>
      <c r="B101" s="250"/>
      <c r="C101" s="251"/>
      <c r="D101" s="11"/>
      <c r="E101" s="175"/>
      <c r="F101" s="12"/>
      <c r="G101" s="12"/>
      <c r="H101" s="26"/>
      <c r="I101" s="180" t="e">
        <f t="shared" ref="I101:I102" si="9">AVERAGE(E101:H101)</f>
        <v>#DIV/0!</v>
      </c>
      <c r="J101" s="180"/>
      <c r="K101" s="178"/>
      <c r="L101" s="178"/>
      <c r="M101" s="178"/>
      <c r="N101" s="200" t="e">
        <f t="shared" ref="N101:N102" si="10">AVERAGE(J101:M101)</f>
        <v>#DIV/0!</v>
      </c>
      <c r="O101" s="204" t="e">
        <f t="shared" ref="O101:O102" si="11">N101-I101</f>
        <v>#DIV/0!</v>
      </c>
      <c r="P101" s="91"/>
    </row>
    <row r="102" spans="1:16" x14ac:dyDescent="0.3">
      <c r="A102" s="249" t="s">
        <v>93</v>
      </c>
      <c r="B102" s="250"/>
      <c r="C102" s="251"/>
      <c r="D102" s="11"/>
      <c r="E102" s="175"/>
      <c r="F102" s="12"/>
      <c r="G102" s="12"/>
      <c r="H102" s="26"/>
      <c r="I102" s="180" t="e">
        <f t="shared" si="9"/>
        <v>#DIV/0!</v>
      </c>
      <c r="J102" s="180"/>
      <c r="K102" s="178"/>
      <c r="L102" s="178"/>
      <c r="M102" s="178"/>
      <c r="N102" s="180" t="e">
        <f t="shared" si="10"/>
        <v>#DIV/0!</v>
      </c>
      <c r="O102" s="36" t="e">
        <f t="shared" si="11"/>
        <v>#DIV/0!</v>
      </c>
      <c r="P102" s="91"/>
    </row>
    <row r="103" spans="1:16" x14ac:dyDescent="0.3">
      <c r="A103" s="14"/>
      <c r="B103" s="3"/>
      <c r="C103" s="15"/>
      <c r="D103" s="11"/>
      <c r="E103" s="12"/>
      <c r="F103" s="12"/>
      <c r="G103" s="12"/>
      <c r="H103" s="26"/>
      <c r="I103" s="13"/>
      <c r="J103" s="11"/>
      <c r="K103" s="11"/>
      <c r="L103" s="11"/>
      <c r="M103" s="11"/>
      <c r="N103" s="13"/>
      <c r="O103" s="11"/>
      <c r="P103" s="11"/>
    </row>
    <row r="104" spans="1:16" x14ac:dyDescent="0.3">
      <c r="A104" s="211" t="s">
        <v>24</v>
      </c>
      <c r="B104" s="212"/>
      <c r="C104" s="213"/>
      <c r="D104" s="11"/>
      <c r="E104" s="12"/>
      <c r="F104" s="12"/>
      <c r="G104" s="12"/>
      <c r="H104" s="26"/>
      <c r="I104" s="13"/>
      <c r="J104" s="11"/>
      <c r="K104" s="11"/>
      <c r="L104" s="11"/>
      <c r="M104" s="11"/>
      <c r="N104" s="13"/>
      <c r="O104" s="11"/>
      <c r="P104" s="11"/>
    </row>
    <row r="105" spans="1:16" s="22" customFormat="1" x14ac:dyDescent="0.3">
      <c r="A105" s="252" t="s">
        <v>94</v>
      </c>
      <c r="B105" s="253"/>
      <c r="C105" s="254"/>
      <c r="D105" s="16"/>
      <c r="E105" s="12"/>
      <c r="F105" s="12"/>
      <c r="G105" s="12"/>
      <c r="H105" s="26"/>
      <c r="I105" s="26">
        <f>SUM(E105:H105)</f>
        <v>0</v>
      </c>
      <c r="J105" s="16"/>
      <c r="K105" s="16"/>
      <c r="L105" s="16"/>
      <c r="M105" s="61"/>
      <c r="N105" s="26">
        <f>SUM(J105:M105)</f>
        <v>0</v>
      </c>
      <c r="O105" s="12">
        <f>N105-I105</f>
        <v>0</v>
      </c>
      <c r="P105" s="177"/>
    </row>
    <row r="106" spans="1:16" x14ac:dyDescent="0.3">
      <c r="A106" s="211" t="s">
        <v>28</v>
      </c>
      <c r="B106" s="212"/>
      <c r="C106" s="213"/>
      <c r="D106" s="11"/>
      <c r="E106" s="12"/>
      <c r="F106" s="12"/>
      <c r="G106" s="12"/>
      <c r="H106" s="26"/>
      <c r="I106" s="26">
        <f t="shared" ref="I106:I107" si="12">SUM(E106:H106)</f>
        <v>0</v>
      </c>
      <c r="J106" s="11"/>
      <c r="K106" s="11"/>
      <c r="L106" s="11"/>
      <c r="M106" s="61"/>
      <c r="N106" s="26">
        <f t="shared" ref="N106:N107" si="13">SUM(J106:M106)</f>
        <v>0</v>
      </c>
      <c r="O106" s="12">
        <f t="shared" ref="O106:O107" si="14">N106-I106</f>
        <v>0</v>
      </c>
      <c r="P106" s="88"/>
    </row>
    <row r="107" spans="1:16" x14ac:dyDescent="0.3">
      <c r="A107" s="255" t="s">
        <v>29</v>
      </c>
      <c r="B107" s="256"/>
      <c r="C107" s="257"/>
      <c r="D107" s="11"/>
      <c r="E107" s="12"/>
      <c r="F107" s="12"/>
      <c r="G107" s="12"/>
      <c r="H107" s="26"/>
      <c r="I107" s="26">
        <f t="shared" si="12"/>
        <v>0</v>
      </c>
      <c r="J107" s="11"/>
      <c r="K107" s="11"/>
      <c r="L107" s="11"/>
      <c r="M107" s="61"/>
      <c r="N107" s="26">
        <f t="shared" si="13"/>
        <v>0</v>
      </c>
      <c r="O107" s="12">
        <f t="shared" si="14"/>
        <v>0</v>
      </c>
      <c r="P107" s="88"/>
    </row>
    <row r="108" spans="1:16" x14ac:dyDescent="0.3">
      <c r="A108" s="14"/>
      <c r="B108" s="3"/>
      <c r="C108" s="15"/>
      <c r="D108" s="11"/>
      <c r="E108" s="12"/>
      <c r="F108" s="12"/>
      <c r="G108" s="12"/>
      <c r="H108" s="26"/>
      <c r="I108" s="13"/>
      <c r="J108" s="11"/>
      <c r="K108" s="11"/>
      <c r="L108" s="11"/>
      <c r="M108" s="11"/>
      <c r="N108" s="194"/>
      <c r="O108" s="205"/>
      <c r="P108" s="11"/>
    </row>
    <row r="109" spans="1:16" x14ac:dyDescent="0.3">
      <c r="A109" s="243" t="s">
        <v>95</v>
      </c>
      <c r="B109" s="244"/>
      <c r="C109" s="245"/>
      <c r="D109" s="11"/>
      <c r="E109" s="12"/>
      <c r="F109" s="12"/>
      <c r="G109" s="12"/>
      <c r="H109" s="26"/>
      <c r="I109" s="16"/>
      <c r="J109" s="11"/>
      <c r="K109" s="11"/>
      <c r="L109" s="11"/>
      <c r="M109" s="11"/>
      <c r="N109" s="186"/>
      <c r="O109" s="205"/>
      <c r="P109" s="11"/>
    </row>
    <row r="110" spans="1:16" x14ac:dyDescent="0.3">
      <c r="A110" s="211" t="s">
        <v>30</v>
      </c>
      <c r="B110" s="212"/>
      <c r="C110" s="213"/>
      <c r="D110" s="11"/>
      <c r="E110" s="12"/>
      <c r="F110" s="12"/>
      <c r="G110" s="12"/>
      <c r="H110" s="63"/>
      <c r="I110" s="63">
        <f>SUM(E110:H110)</f>
        <v>0</v>
      </c>
      <c r="J110" s="11"/>
      <c r="K110" s="11"/>
      <c r="L110" s="11"/>
      <c r="M110" s="61"/>
      <c r="N110" s="63">
        <f>SUM(J110:M110)</f>
        <v>0</v>
      </c>
      <c r="O110" s="61">
        <f>N110-I110</f>
        <v>0</v>
      </c>
      <c r="P110" s="177"/>
    </row>
    <row r="111" spans="1:16" x14ac:dyDescent="0.3">
      <c r="A111" s="211" t="s">
        <v>31</v>
      </c>
      <c r="B111" s="212"/>
      <c r="C111" s="213"/>
      <c r="D111" s="11"/>
      <c r="E111" s="12"/>
      <c r="F111" s="12"/>
      <c r="G111" s="12"/>
      <c r="H111" s="63"/>
      <c r="I111" s="63">
        <f t="shared" ref="I111:I112" si="15">SUM(E111:H111)</f>
        <v>0</v>
      </c>
      <c r="J111" s="11"/>
      <c r="K111" s="11"/>
      <c r="L111" s="11"/>
      <c r="M111" s="61"/>
      <c r="N111" s="63">
        <f t="shared" ref="N111:N112" si="16">SUM(J111:M111)</f>
        <v>0</v>
      </c>
      <c r="O111" s="61">
        <f t="shared" ref="O111:O112" si="17">N111-I111</f>
        <v>0</v>
      </c>
      <c r="P111" s="177"/>
    </row>
    <row r="112" spans="1:16" x14ac:dyDescent="0.3">
      <c r="A112" s="211" t="s">
        <v>32</v>
      </c>
      <c r="B112" s="212"/>
      <c r="C112" s="213"/>
      <c r="D112" s="11"/>
      <c r="E112" s="12"/>
      <c r="F112" s="12"/>
      <c r="G112" s="12"/>
      <c r="H112" s="63"/>
      <c r="I112" s="63">
        <f t="shared" si="15"/>
        <v>0</v>
      </c>
      <c r="J112" s="11"/>
      <c r="K112" s="11"/>
      <c r="L112" s="11"/>
      <c r="M112" s="61"/>
      <c r="N112" s="63">
        <f t="shared" si="16"/>
        <v>0</v>
      </c>
      <c r="O112" s="61">
        <f t="shared" si="17"/>
        <v>0</v>
      </c>
      <c r="P112" s="177"/>
    </row>
    <row r="113" spans="1:16" x14ac:dyDescent="0.3">
      <c r="A113" s="261"/>
      <c r="B113" s="262"/>
      <c r="C113" s="263"/>
      <c r="D113" s="16"/>
      <c r="E113" s="12"/>
      <c r="F113" s="12"/>
      <c r="G113" s="12"/>
      <c r="H113" s="26"/>
      <c r="I113" s="16"/>
      <c r="J113" s="16"/>
      <c r="K113" s="16"/>
      <c r="L113" s="16"/>
      <c r="M113" s="16"/>
      <c r="N113" s="16"/>
      <c r="O113" s="16"/>
      <c r="P113" s="16"/>
    </row>
    <row r="114" spans="1:16" x14ac:dyDescent="0.3">
      <c r="A114" s="208" t="s">
        <v>40</v>
      </c>
      <c r="B114" s="209"/>
      <c r="C114" s="210"/>
      <c r="D114" s="19">
        <v>310500000000000</v>
      </c>
      <c r="E114" s="34"/>
      <c r="F114" s="34"/>
      <c r="G114" s="34"/>
      <c r="H114" s="29"/>
      <c r="I114" s="51"/>
      <c r="J114" s="9"/>
      <c r="K114" s="9"/>
      <c r="L114" s="9"/>
      <c r="M114" s="9"/>
      <c r="N114" s="51"/>
      <c r="O114" s="9"/>
      <c r="P114" s="9"/>
    </row>
    <row r="115" spans="1:16" x14ac:dyDescent="0.3">
      <c r="A115" s="233" t="s">
        <v>86</v>
      </c>
      <c r="B115" s="234"/>
      <c r="C115" s="235"/>
      <c r="D115" s="11"/>
      <c r="E115" s="12"/>
      <c r="F115" s="12"/>
      <c r="G115" s="12"/>
      <c r="H115" s="26"/>
      <c r="I115" s="13"/>
      <c r="J115" s="11"/>
      <c r="K115" s="11"/>
      <c r="L115" s="11"/>
      <c r="M115" s="11"/>
      <c r="N115" s="13"/>
      <c r="O115" s="11"/>
      <c r="P115" s="11"/>
    </row>
    <row r="116" spans="1:16" s="10" customFormat="1" x14ac:dyDescent="0.35">
      <c r="A116" s="236" t="s">
        <v>96</v>
      </c>
      <c r="B116" s="237"/>
      <c r="C116" s="238"/>
      <c r="D116" s="12"/>
      <c r="E116" s="71"/>
      <c r="F116" s="71"/>
      <c r="G116" s="12"/>
      <c r="H116" s="64"/>
      <c r="I116" s="71" t="e">
        <f>AVERAGE(E116:H116)</f>
        <v>#DIV/0!</v>
      </c>
      <c r="J116" s="12"/>
      <c r="K116" s="12"/>
      <c r="L116" s="12"/>
      <c r="M116" s="71"/>
      <c r="N116" s="71" t="e">
        <f>AVERAGE(J116:M116)</f>
        <v>#DIV/0!</v>
      </c>
      <c r="O116" s="71" t="e">
        <f>N116-I116</f>
        <v>#DIV/0!</v>
      </c>
      <c r="P116" s="177"/>
    </row>
    <row r="117" spans="1:16" s="10" customFormat="1" x14ac:dyDescent="0.35">
      <c r="A117" s="221" t="s">
        <v>101</v>
      </c>
      <c r="B117" s="222"/>
      <c r="C117" s="223"/>
      <c r="D117" s="12"/>
      <c r="E117" s="71"/>
      <c r="F117" s="71"/>
      <c r="G117" s="71"/>
      <c r="H117" s="71"/>
      <c r="I117" s="183" t="e">
        <f>AVERAGE(E117:H117)</f>
        <v>#DIV/0!</v>
      </c>
      <c r="J117" s="71"/>
      <c r="K117" s="12"/>
      <c r="L117" s="71"/>
      <c r="M117" s="71"/>
      <c r="N117" s="71" t="e">
        <f>AVERAGE(J117:M117)</f>
        <v>#DIV/0!</v>
      </c>
      <c r="O117" s="71" t="e">
        <f>N117-I117</f>
        <v>#DIV/0!</v>
      </c>
      <c r="P117" s="195"/>
    </row>
    <row r="118" spans="1:16" s="10" customFormat="1" x14ac:dyDescent="0.35">
      <c r="A118" s="230" t="s">
        <v>100</v>
      </c>
      <c r="B118" s="231"/>
      <c r="C118" s="232"/>
      <c r="D118" s="12"/>
      <c r="E118" s="12"/>
      <c r="F118" s="12"/>
      <c r="G118" s="12"/>
      <c r="H118" s="26"/>
      <c r="I118" s="52">
        <f>MAX(E118:H118)</f>
        <v>0</v>
      </c>
      <c r="J118" s="12"/>
      <c r="K118" s="12"/>
      <c r="L118" s="12"/>
      <c r="M118" s="12"/>
      <c r="N118" s="52">
        <f>MAX(J118:M118)</f>
        <v>0</v>
      </c>
      <c r="O118" s="12">
        <f>N118-I118</f>
        <v>0</v>
      </c>
      <c r="P118" s="270"/>
    </row>
    <row r="119" spans="1:16" s="10" customFormat="1" x14ac:dyDescent="0.35">
      <c r="A119" s="218" t="s">
        <v>56</v>
      </c>
      <c r="B119" s="219"/>
      <c r="C119" s="220"/>
      <c r="D119" s="12"/>
      <c r="E119" s="12"/>
      <c r="F119" s="12"/>
      <c r="G119" s="12"/>
      <c r="H119" s="26"/>
      <c r="I119" s="52">
        <f>MAX(E119:H119)</f>
        <v>0</v>
      </c>
      <c r="J119" s="12"/>
      <c r="K119" s="12"/>
      <c r="L119" s="12"/>
      <c r="M119" s="12"/>
      <c r="N119" s="52">
        <f>MAX(J119:M119)</f>
        <v>0</v>
      </c>
      <c r="O119" s="12">
        <f t="shared" ref="O119:O121" si="18">N119-I119</f>
        <v>0</v>
      </c>
      <c r="P119" s="270"/>
    </row>
    <row r="120" spans="1:16" s="10" customFormat="1" x14ac:dyDescent="0.35">
      <c r="A120" s="218" t="s">
        <v>98</v>
      </c>
      <c r="B120" s="219"/>
      <c r="C120" s="220"/>
      <c r="D120" s="12"/>
      <c r="E120" s="12"/>
      <c r="F120" s="12"/>
      <c r="G120" s="12"/>
      <c r="H120" s="26"/>
      <c r="I120" s="52">
        <f t="shared" ref="I120:I121" si="19">MAX(E120:H120)</f>
        <v>0</v>
      </c>
      <c r="J120" s="12"/>
      <c r="K120" s="12"/>
      <c r="L120" s="12"/>
      <c r="M120" s="12"/>
      <c r="N120" s="52">
        <f t="shared" ref="N120:N121" si="20">MAX(J120:M120)</f>
        <v>0</v>
      </c>
      <c r="O120" s="12">
        <f t="shared" si="18"/>
        <v>0</v>
      </c>
      <c r="P120" s="270"/>
    </row>
    <row r="121" spans="1:16" s="10" customFormat="1" x14ac:dyDescent="0.35">
      <c r="A121" s="218" t="s">
        <v>99</v>
      </c>
      <c r="B121" s="219"/>
      <c r="C121" s="220"/>
      <c r="D121" s="12"/>
      <c r="E121" s="12"/>
      <c r="F121" s="12"/>
      <c r="G121" s="12"/>
      <c r="H121" s="26"/>
      <c r="I121" s="52">
        <f t="shared" si="19"/>
        <v>0</v>
      </c>
      <c r="J121" s="12"/>
      <c r="K121" s="12"/>
      <c r="L121" s="12"/>
      <c r="M121" s="12"/>
      <c r="N121" s="52">
        <f t="shared" si="20"/>
        <v>0</v>
      </c>
      <c r="O121" s="12">
        <f t="shared" si="18"/>
        <v>0</v>
      </c>
      <c r="P121" s="270"/>
    </row>
    <row r="122" spans="1:16" x14ac:dyDescent="0.3">
      <c r="A122" s="224" t="s">
        <v>59</v>
      </c>
      <c r="B122" s="225"/>
      <c r="C122" s="226"/>
      <c r="D122" s="11"/>
      <c r="E122" s="12"/>
      <c r="F122" s="12"/>
      <c r="G122" s="12"/>
      <c r="H122" s="26"/>
      <c r="I122" s="13"/>
      <c r="J122" s="11"/>
      <c r="K122" s="11"/>
      <c r="L122" s="11"/>
      <c r="M122" s="11"/>
      <c r="N122" s="13"/>
      <c r="O122" s="11"/>
      <c r="P122" s="11"/>
    </row>
    <row r="123" spans="1:16" x14ac:dyDescent="0.3">
      <c r="A123" s="227" t="s">
        <v>97</v>
      </c>
      <c r="B123" s="228"/>
      <c r="C123" s="229"/>
      <c r="D123" s="16"/>
      <c r="E123" s="12"/>
      <c r="F123" s="12"/>
      <c r="G123" s="12"/>
      <c r="H123" s="12"/>
      <c r="I123" s="12">
        <f>SUM(E123:H123)</f>
        <v>0</v>
      </c>
      <c r="J123" s="12"/>
      <c r="K123" s="61"/>
      <c r="L123" s="61"/>
      <c r="M123" s="61"/>
      <c r="N123" s="12">
        <f>SUM(J123:M123)</f>
        <v>0</v>
      </c>
      <c r="O123" s="12">
        <f>N123-(E123+F123+G123+H123)</f>
        <v>0</v>
      </c>
      <c r="P123" s="207"/>
    </row>
    <row r="124" spans="1:16" x14ac:dyDescent="0.3">
      <c r="A124" s="227" t="s">
        <v>221</v>
      </c>
      <c r="B124" s="228"/>
      <c r="C124" s="229"/>
      <c r="D124" s="16"/>
      <c r="E124" s="16"/>
      <c r="F124" s="16"/>
      <c r="G124" s="16"/>
      <c r="H124" s="16"/>
      <c r="I124" s="12">
        <f t="shared" ref="I124:I126" si="21">SUM(E124:H124)</f>
        <v>0</v>
      </c>
      <c r="J124" s="12"/>
      <c r="K124" s="189"/>
      <c r="L124" s="189"/>
      <c r="M124" s="189"/>
      <c r="N124" s="16">
        <f>SUM(J124:M124)</f>
        <v>0</v>
      </c>
      <c r="O124" s="12">
        <f>N124-(SUM(E124:H124))</f>
        <v>0</v>
      </c>
      <c r="P124" s="207"/>
    </row>
    <row r="125" spans="1:16" x14ac:dyDescent="0.3">
      <c r="A125" s="227" t="s">
        <v>222</v>
      </c>
      <c r="B125" s="228"/>
      <c r="C125" s="229"/>
      <c r="D125" s="16"/>
      <c r="E125" s="16"/>
      <c r="F125" s="16"/>
      <c r="G125" s="16"/>
      <c r="H125" s="16"/>
      <c r="I125" s="12">
        <f t="shared" si="21"/>
        <v>0</v>
      </c>
      <c r="J125" s="12"/>
      <c r="K125" s="189"/>
      <c r="L125" s="189"/>
      <c r="M125" s="189"/>
      <c r="N125" s="16">
        <f t="shared" ref="N125:N126" si="22">SUM(J125:M125)</f>
        <v>0</v>
      </c>
      <c r="O125" s="12">
        <f>N125-(E125+F125+G125+H125)</f>
        <v>0</v>
      </c>
      <c r="P125" s="207"/>
    </row>
    <row r="126" spans="1:16" x14ac:dyDescent="0.3">
      <c r="A126" s="227" t="s">
        <v>223</v>
      </c>
      <c r="B126" s="228"/>
      <c r="C126" s="229"/>
      <c r="D126" s="16"/>
      <c r="E126" s="16"/>
      <c r="F126" s="16"/>
      <c r="G126" s="16"/>
      <c r="H126" s="16"/>
      <c r="I126" s="12">
        <f t="shared" si="21"/>
        <v>0</v>
      </c>
      <c r="J126" s="12"/>
      <c r="K126" s="189"/>
      <c r="L126" s="189"/>
      <c r="M126" s="189"/>
      <c r="N126" s="16">
        <f t="shared" si="22"/>
        <v>0</v>
      </c>
      <c r="O126" s="12">
        <f>N126-(E126+F126+G126+H126)</f>
        <v>0</v>
      </c>
      <c r="P126" s="207"/>
    </row>
    <row r="127" spans="1:16" ht="8" customHeight="1" x14ac:dyDescent="0.3">
      <c r="A127" s="240"/>
      <c r="B127" s="241"/>
      <c r="C127" s="242"/>
      <c r="D127" s="110"/>
      <c r="E127" s="110"/>
      <c r="F127" s="111"/>
      <c r="G127" s="111"/>
      <c r="H127" s="111"/>
      <c r="I127" s="112"/>
      <c r="J127" s="111"/>
      <c r="K127" s="110"/>
      <c r="L127" s="110"/>
      <c r="M127" s="110"/>
      <c r="N127" s="110"/>
      <c r="O127" s="111"/>
      <c r="P127" s="111"/>
    </row>
    <row r="128" spans="1:16" x14ac:dyDescent="0.3">
      <c r="A128" s="215"/>
      <c r="B128" s="215"/>
      <c r="C128" s="215"/>
    </row>
    <row r="129" spans="1:16" x14ac:dyDescent="0.3">
      <c r="A129" s="268" t="s">
        <v>34</v>
      </c>
      <c r="B129" s="268"/>
      <c r="C129" s="268"/>
      <c r="H129" s="268" t="s">
        <v>35</v>
      </c>
      <c r="I129" s="268"/>
      <c r="J129" s="268"/>
      <c r="M129" s="268" t="s">
        <v>14</v>
      </c>
      <c r="N129" s="268"/>
      <c r="O129" s="268"/>
    </row>
    <row r="130" spans="1:16" ht="14.5" x14ac:dyDescent="0.35">
      <c r="A130" s="215"/>
      <c r="B130" s="215"/>
      <c r="C130" s="215"/>
      <c r="E130"/>
      <c r="H130" s="215"/>
      <c r="I130" s="215"/>
      <c r="J130" s="215"/>
      <c r="M130" s="215"/>
      <c r="N130" s="215"/>
      <c r="O130" s="215"/>
    </row>
    <row r="131" spans="1:16" x14ac:dyDescent="0.3">
      <c r="A131" s="269" t="s">
        <v>218</v>
      </c>
      <c r="B131" s="269"/>
      <c r="C131" s="269"/>
      <c r="H131" s="269" t="s">
        <v>226</v>
      </c>
      <c r="I131" s="269"/>
      <c r="J131" s="269"/>
      <c r="M131" s="269" t="s">
        <v>220</v>
      </c>
      <c r="N131" s="269"/>
      <c r="O131" s="269"/>
    </row>
    <row r="132" spans="1:16" x14ac:dyDescent="0.3">
      <c r="A132" s="239" t="s">
        <v>219</v>
      </c>
      <c r="B132" s="239"/>
      <c r="C132" s="239"/>
      <c r="H132" s="239" t="s">
        <v>224</v>
      </c>
      <c r="I132" s="239"/>
      <c r="J132" s="239"/>
      <c r="M132" s="217" t="s">
        <v>33</v>
      </c>
      <c r="N132" s="217"/>
      <c r="O132" s="217"/>
      <c r="P132" s="3"/>
    </row>
    <row r="133" spans="1:16" x14ac:dyDescent="0.3">
      <c r="A133" s="267" t="s">
        <v>229</v>
      </c>
      <c r="B133" s="267"/>
      <c r="C133" s="267"/>
      <c r="H133" s="206" t="s">
        <v>225</v>
      </c>
      <c r="I133" s="206"/>
      <c r="M133" s="267" t="s">
        <v>225</v>
      </c>
      <c r="N133" s="267"/>
      <c r="O133" s="267"/>
      <c r="P133" s="267"/>
    </row>
  </sheetData>
  <mergeCells count="129">
    <mergeCell ref="P45:P46"/>
    <mergeCell ref="P41:P42"/>
    <mergeCell ref="A55:C55"/>
    <mergeCell ref="A56:C56"/>
    <mergeCell ref="A63:C63"/>
    <mergeCell ref="A68:C68"/>
    <mergeCell ref="A57:C57"/>
    <mergeCell ref="A59:C59"/>
    <mergeCell ref="A61:C61"/>
    <mergeCell ref="A58:C58"/>
    <mergeCell ref="A54:C54"/>
    <mergeCell ref="A60:C60"/>
    <mergeCell ref="A62:C62"/>
    <mergeCell ref="A64:C64"/>
    <mergeCell ref="A65:C65"/>
    <mergeCell ref="A66:C66"/>
    <mergeCell ref="A41:C41"/>
    <mergeCell ref="A45:C45"/>
    <mergeCell ref="A51:C51"/>
    <mergeCell ref="A53:C53"/>
    <mergeCell ref="A18:C18"/>
    <mergeCell ref="A19:C19"/>
    <mergeCell ref="A20:C20"/>
    <mergeCell ref="A22:C22"/>
    <mergeCell ref="O14:O15"/>
    <mergeCell ref="P14:P15"/>
    <mergeCell ref="A16:C16"/>
    <mergeCell ref="A17:C17"/>
    <mergeCell ref="A40:C40"/>
    <mergeCell ref="A24:C24"/>
    <mergeCell ref="A25:C25"/>
    <mergeCell ref="A26:C26"/>
    <mergeCell ref="A27:C27"/>
    <mergeCell ref="A28:C28"/>
    <mergeCell ref="P32:P33"/>
    <mergeCell ref="P35:P36"/>
    <mergeCell ref="P37:P38"/>
    <mergeCell ref="C10:D10"/>
    <mergeCell ref="C11:D11"/>
    <mergeCell ref="A14:C15"/>
    <mergeCell ref="D14:D15"/>
    <mergeCell ref="E14:I14"/>
    <mergeCell ref="J14:N14"/>
    <mergeCell ref="O1:P1"/>
    <mergeCell ref="O2:P2"/>
    <mergeCell ref="E4:J4"/>
    <mergeCell ref="E5:J5"/>
    <mergeCell ref="C8:D8"/>
    <mergeCell ref="C9:D9"/>
    <mergeCell ref="A133:C133"/>
    <mergeCell ref="M133:P133"/>
    <mergeCell ref="A29:C29"/>
    <mergeCell ref="A30:C30"/>
    <mergeCell ref="A31:C31"/>
    <mergeCell ref="A113:C113"/>
    <mergeCell ref="A32:C32"/>
    <mergeCell ref="A111:C111"/>
    <mergeCell ref="H129:J129"/>
    <mergeCell ref="M129:O129"/>
    <mergeCell ref="A130:C130"/>
    <mergeCell ref="H130:J130"/>
    <mergeCell ref="M130:O130"/>
    <mergeCell ref="A131:C131"/>
    <mergeCell ref="H131:J131"/>
    <mergeCell ref="M131:O131"/>
    <mergeCell ref="A128:C128"/>
    <mergeCell ref="A129:C129"/>
    <mergeCell ref="A112:C112"/>
    <mergeCell ref="A35:C35"/>
    <mergeCell ref="A37:C37"/>
    <mergeCell ref="A49:C49"/>
    <mergeCell ref="P118:P121"/>
    <mergeCell ref="A48:C48"/>
    <mergeCell ref="A72:C72"/>
    <mergeCell ref="A73:C73"/>
    <mergeCell ref="A75:C75"/>
    <mergeCell ref="A95:C95"/>
    <mergeCell ref="A91:C91"/>
    <mergeCell ref="A92:C92"/>
    <mergeCell ref="A93:C93"/>
    <mergeCell ref="A94:C94"/>
    <mergeCell ref="A88:C88"/>
    <mergeCell ref="A81:C81"/>
    <mergeCell ref="A79:C79"/>
    <mergeCell ref="A89:C89"/>
    <mergeCell ref="A87:C87"/>
    <mergeCell ref="A82:C82"/>
    <mergeCell ref="A83:C83"/>
    <mergeCell ref="A84:C84"/>
    <mergeCell ref="A85:C85"/>
    <mergeCell ref="A86:C86"/>
    <mergeCell ref="A77:C77"/>
    <mergeCell ref="A110:C110"/>
    <mergeCell ref="A96:C96"/>
    <mergeCell ref="A97:C97"/>
    <mergeCell ref="A98:C98"/>
    <mergeCell ref="A101:C101"/>
    <mergeCell ref="A104:C104"/>
    <mergeCell ref="A105:C105"/>
    <mergeCell ref="A106:C106"/>
    <mergeCell ref="A107:C107"/>
    <mergeCell ref="A109:C109"/>
    <mergeCell ref="A102:C102"/>
    <mergeCell ref="A99:C99"/>
    <mergeCell ref="A100:C100"/>
    <mergeCell ref="H133:I133"/>
    <mergeCell ref="P123:P126"/>
    <mergeCell ref="A70:C70"/>
    <mergeCell ref="A71:C71"/>
    <mergeCell ref="A69:C69"/>
    <mergeCell ref="A90:C90"/>
    <mergeCell ref="A76:C76"/>
    <mergeCell ref="M132:O132"/>
    <mergeCell ref="A119:C119"/>
    <mergeCell ref="A117:C117"/>
    <mergeCell ref="A120:C120"/>
    <mergeCell ref="A122:C122"/>
    <mergeCell ref="A123:C123"/>
    <mergeCell ref="A118:C118"/>
    <mergeCell ref="A115:C115"/>
    <mergeCell ref="A116:C116"/>
    <mergeCell ref="A132:C132"/>
    <mergeCell ref="H132:J132"/>
    <mergeCell ref="A124:C124"/>
    <mergeCell ref="A125:C125"/>
    <mergeCell ref="A126:C126"/>
    <mergeCell ref="A127:C127"/>
    <mergeCell ref="A114:C114"/>
    <mergeCell ref="A121:C121"/>
  </mergeCells>
  <pageMargins left="0.25" right="0.25" top="0.75" bottom="0.75" header="0.3" footer="0.3"/>
  <pageSetup paperSize="9" scale="49" fitToWidth="0" fitToHeight="0" orientation="landscape" r:id="rId1"/>
  <rowBreaks count="5" manualBreakCount="5">
    <brk id="30" max="15" man="1"/>
    <brk id="40" max="15" man="1"/>
    <brk id="58" max="15" man="1"/>
    <brk id="67" max="15" man="1"/>
    <brk id="100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BBAA-AC62-443E-B8EC-FE12D87DAA67}">
  <sheetPr>
    <tabColor theme="5" tint="0.79998168889431442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14.453125" customWidth="1"/>
  </cols>
  <sheetData>
    <row r="1" spans="1:2" x14ac:dyDescent="0.35">
      <c r="A1" s="147" t="s">
        <v>143</v>
      </c>
    </row>
    <row r="3" spans="1:2" x14ac:dyDescent="0.35">
      <c r="A3" s="148" t="s">
        <v>128</v>
      </c>
      <c r="B3" s="148" t="s">
        <v>129</v>
      </c>
    </row>
    <row r="4" spans="1:2" x14ac:dyDescent="0.35">
      <c r="A4" s="149" t="s">
        <v>130</v>
      </c>
      <c r="B4" s="153" t="str">
        <f>ADN!J21</f>
        <v>-</v>
      </c>
    </row>
    <row r="5" spans="1:2" x14ac:dyDescent="0.35">
      <c r="A5" s="149" t="s">
        <v>131</v>
      </c>
      <c r="B5" s="153" t="str">
        <f>ADS!J21</f>
        <v>-</v>
      </c>
    </row>
    <row r="6" spans="1:2" x14ac:dyDescent="0.35">
      <c r="A6" s="149" t="s">
        <v>132</v>
      </c>
      <c r="B6" s="153">
        <f>BAY!J21</f>
        <v>0</v>
      </c>
    </row>
    <row r="7" spans="1:2" x14ac:dyDescent="0.35">
      <c r="A7" s="149" t="s">
        <v>133</v>
      </c>
      <c r="B7" s="153" t="str">
        <f>BIS!J21</f>
        <v>-</v>
      </c>
    </row>
    <row r="8" spans="1:2" x14ac:dyDescent="0.35">
      <c r="A8" s="149" t="s">
        <v>134</v>
      </c>
      <c r="B8" s="153" t="str">
        <f>BUT!J21</f>
        <v>-</v>
      </c>
    </row>
    <row r="9" spans="1:2" x14ac:dyDescent="0.35">
      <c r="A9" s="149" t="s">
        <v>135</v>
      </c>
      <c r="B9" s="153">
        <f>CBR!J21</f>
        <v>0</v>
      </c>
    </row>
    <row r="10" spans="1:2" x14ac:dyDescent="0.35">
      <c r="A10" s="149" t="s">
        <v>136</v>
      </c>
      <c r="B10" s="153" t="str">
        <f>DIN!J21</f>
        <v>-</v>
      </c>
    </row>
    <row r="11" spans="1:2" x14ac:dyDescent="0.35">
      <c r="A11" s="149" t="s">
        <v>137</v>
      </c>
      <c r="B11" s="153" t="str">
        <f>SIA!J21</f>
        <v>-</v>
      </c>
    </row>
    <row r="12" spans="1:2" x14ac:dyDescent="0.35">
      <c r="A12" s="149" t="s">
        <v>138</v>
      </c>
      <c r="B12" s="153" t="str">
        <f>SC!J21</f>
        <v>-</v>
      </c>
    </row>
    <row r="13" spans="1:2" x14ac:dyDescent="0.35">
      <c r="A13" s="149" t="s">
        <v>139</v>
      </c>
      <c r="B13" s="153" t="str">
        <f>SDN!J21</f>
        <v>-</v>
      </c>
    </row>
    <row r="14" spans="1:2" x14ac:dyDescent="0.35">
      <c r="A14" s="149" t="s">
        <v>140</v>
      </c>
      <c r="B14" s="153" t="str">
        <f>SDS!J21</f>
        <v>-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AVERAGE(B4:B15)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3A96-4243-43EC-A772-35BCDA0C68D7}">
  <sheetPr>
    <tabColor theme="5" tint="0.79998168889431442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14.453125" customWidth="1"/>
  </cols>
  <sheetData>
    <row r="1" spans="1:2" x14ac:dyDescent="0.35">
      <c r="A1" s="147" t="s">
        <v>144</v>
      </c>
    </row>
    <row r="3" spans="1:2" ht="42.5" x14ac:dyDescent="0.35">
      <c r="A3" s="151" t="s">
        <v>128</v>
      </c>
      <c r="B3" s="150" t="s">
        <v>144</v>
      </c>
    </row>
    <row r="4" spans="1:2" x14ac:dyDescent="0.35">
      <c r="A4" s="149" t="s">
        <v>130</v>
      </c>
      <c r="B4" s="153" t="str">
        <f>ADN!J24</f>
        <v>-</v>
      </c>
    </row>
    <row r="5" spans="1:2" x14ac:dyDescent="0.35">
      <c r="A5" s="149" t="s">
        <v>131</v>
      </c>
      <c r="B5" s="153" t="str">
        <f>ADS!J24</f>
        <v>-</v>
      </c>
    </row>
    <row r="6" spans="1:2" x14ac:dyDescent="0.35">
      <c r="A6" s="149" t="s">
        <v>132</v>
      </c>
      <c r="B6" s="153">
        <f>BAY!J24</f>
        <v>0</v>
      </c>
    </row>
    <row r="7" spans="1:2" x14ac:dyDescent="0.35">
      <c r="A7" s="149" t="s">
        <v>133</v>
      </c>
      <c r="B7" s="153" t="str">
        <f>BIS!J24</f>
        <v>-</v>
      </c>
    </row>
    <row r="8" spans="1:2" x14ac:dyDescent="0.35">
      <c r="A8" s="149" t="s">
        <v>134</v>
      </c>
      <c r="B8" s="153" t="str">
        <f>BUT!J24</f>
        <v>-</v>
      </c>
    </row>
    <row r="9" spans="1:2" x14ac:dyDescent="0.35">
      <c r="A9" s="149" t="s">
        <v>135</v>
      </c>
      <c r="B9" s="153" t="str">
        <f>CBR!J24</f>
        <v>-</v>
      </c>
    </row>
    <row r="10" spans="1:2" x14ac:dyDescent="0.35">
      <c r="A10" s="149" t="s">
        <v>136</v>
      </c>
      <c r="B10" s="153" t="str">
        <f>DIN!J24</f>
        <v>-</v>
      </c>
    </row>
    <row r="11" spans="1:2" x14ac:dyDescent="0.35">
      <c r="A11" s="149" t="s">
        <v>137</v>
      </c>
      <c r="B11" s="153" t="str">
        <f>SIA!J24</f>
        <v>-</v>
      </c>
    </row>
    <row r="12" spans="1:2" x14ac:dyDescent="0.35">
      <c r="A12" s="149" t="s">
        <v>138</v>
      </c>
      <c r="B12" s="153" t="str">
        <f>SC!J24</f>
        <v>-</v>
      </c>
    </row>
    <row r="13" spans="1:2" x14ac:dyDescent="0.35">
      <c r="A13" s="149" t="s">
        <v>139</v>
      </c>
      <c r="B13" s="153" t="str">
        <f>SDN!J24</f>
        <v>-</v>
      </c>
    </row>
    <row r="14" spans="1:2" x14ac:dyDescent="0.35">
      <c r="A14" s="149" t="s">
        <v>140</v>
      </c>
      <c r="B14" s="153" t="str">
        <f>SDS!J24</f>
        <v>-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2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8290-6C29-4B6B-8760-5B92CF91AC0C}">
  <sheetPr>
    <tabColor theme="5" tint="0.79998168889431442"/>
  </sheetPr>
  <dimension ref="A1:B16"/>
  <sheetViews>
    <sheetView topLeftCell="A2" workbookViewId="0">
      <selection activeCell="B7" sqref="B7"/>
    </sheetView>
  </sheetViews>
  <sheetFormatPr defaultRowHeight="14.5" x14ac:dyDescent="0.35"/>
  <cols>
    <col min="1" max="1" width="32.453125" customWidth="1"/>
    <col min="2" max="2" width="14.453125" customWidth="1"/>
  </cols>
  <sheetData>
    <row r="1" spans="1:2" x14ac:dyDescent="0.35">
      <c r="A1" s="147" t="s">
        <v>145</v>
      </c>
    </row>
    <row r="3" spans="1:2" ht="56.5" x14ac:dyDescent="0.35">
      <c r="A3" s="151" t="s">
        <v>128</v>
      </c>
      <c r="B3" s="150" t="s">
        <v>145</v>
      </c>
    </row>
    <row r="4" spans="1:2" x14ac:dyDescent="0.35">
      <c r="A4" s="149" t="s">
        <v>130</v>
      </c>
      <c r="B4" s="153" t="str">
        <f>ADN!J25</f>
        <v>-</v>
      </c>
    </row>
    <row r="5" spans="1:2" x14ac:dyDescent="0.35">
      <c r="A5" s="149" t="s">
        <v>131</v>
      </c>
      <c r="B5" s="153" t="str">
        <f>ADS!J25</f>
        <v>-</v>
      </c>
    </row>
    <row r="6" spans="1:2" x14ac:dyDescent="0.35">
      <c r="A6" s="149" t="s">
        <v>132</v>
      </c>
      <c r="B6" s="153">
        <f>BAY!J25</f>
        <v>0</v>
      </c>
    </row>
    <row r="7" spans="1:2" x14ac:dyDescent="0.35">
      <c r="A7" s="149" t="s">
        <v>133</v>
      </c>
      <c r="B7" s="153" t="str">
        <f>BIS!J25</f>
        <v>-</v>
      </c>
    </row>
    <row r="8" spans="1:2" x14ac:dyDescent="0.35">
      <c r="A8" s="149" t="s">
        <v>134</v>
      </c>
      <c r="B8" s="153">
        <f>BUT!J25</f>
        <v>1</v>
      </c>
    </row>
    <row r="9" spans="1:2" x14ac:dyDescent="0.35">
      <c r="A9" s="149" t="s">
        <v>135</v>
      </c>
      <c r="B9" s="153" t="str">
        <f>CBR!J25</f>
        <v>-</v>
      </c>
    </row>
    <row r="10" spans="1:2" x14ac:dyDescent="0.35">
      <c r="A10" s="149" t="s">
        <v>136</v>
      </c>
      <c r="B10" s="153">
        <f>DIN!J25</f>
        <v>1</v>
      </c>
    </row>
    <row r="11" spans="1:2" x14ac:dyDescent="0.35">
      <c r="A11" s="149" t="s">
        <v>137</v>
      </c>
      <c r="B11" s="153" t="str">
        <f>SIA!J25</f>
        <v>-</v>
      </c>
    </row>
    <row r="12" spans="1:2" x14ac:dyDescent="0.35">
      <c r="A12" s="149" t="s">
        <v>138</v>
      </c>
      <c r="B12" s="153" t="str">
        <f>SC!J25</f>
        <v>-</v>
      </c>
    </row>
    <row r="13" spans="1:2" x14ac:dyDescent="0.35">
      <c r="A13" s="149" t="s">
        <v>139</v>
      </c>
      <c r="B13" s="153" t="str">
        <f>SDN!J25</f>
        <v>-</v>
      </c>
    </row>
    <row r="14" spans="1:2" x14ac:dyDescent="0.35">
      <c r="A14" s="149" t="s">
        <v>140</v>
      </c>
      <c r="B14" s="153" t="str">
        <f>SDS!J25</f>
        <v>-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CAA1-7098-483B-8C65-48CBDB3781EE}">
  <sheetPr>
    <tabColor theme="5" tint="0.79998168889431442"/>
  </sheetPr>
  <dimension ref="A1:B16"/>
  <sheetViews>
    <sheetView workbookViewId="0">
      <selection activeCell="B4" sqref="B4"/>
    </sheetView>
  </sheetViews>
  <sheetFormatPr defaultRowHeight="14.5" x14ac:dyDescent="0.35"/>
  <cols>
    <col min="1" max="1" width="32.453125" customWidth="1"/>
    <col min="2" max="2" width="21" customWidth="1"/>
  </cols>
  <sheetData>
    <row r="1" spans="1:2" x14ac:dyDescent="0.35">
      <c r="A1" s="147" t="s">
        <v>45</v>
      </c>
    </row>
    <row r="3" spans="1:2" ht="42.5" x14ac:dyDescent="0.35">
      <c r="A3" s="151" t="s">
        <v>128</v>
      </c>
      <c r="B3" s="150" t="s">
        <v>45</v>
      </c>
    </row>
    <row r="4" spans="1:2" x14ac:dyDescent="0.35">
      <c r="A4" s="149" t="s">
        <v>130</v>
      </c>
      <c r="B4" s="153" t="str">
        <f>ADN!J26</f>
        <v>-</v>
      </c>
    </row>
    <row r="5" spans="1:2" x14ac:dyDescent="0.35">
      <c r="A5" s="149" t="s">
        <v>131</v>
      </c>
      <c r="B5" s="153" t="str">
        <f>ADS!J26</f>
        <v>-</v>
      </c>
    </row>
    <row r="6" spans="1:2" x14ac:dyDescent="0.35">
      <c r="A6" s="149" t="s">
        <v>132</v>
      </c>
      <c r="B6" s="153">
        <f>BAY!J26</f>
        <v>0</v>
      </c>
    </row>
    <row r="7" spans="1:2" x14ac:dyDescent="0.35">
      <c r="A7" s="149" t="s">
        <v>133</v>
      </c>
      <c r="B7" s="153">
        <f>BIS!J26</f>
        <v>4</v>
      </c>
    </row>
    <row r="8" spans="1:2" x14ac:dyDescent="0.35">
      <c r="A8" s="149" t="s">
        <v>134</v>
      </c>
      <c r="B8" s="153" t="str">
        <f>BUT!J26</f>
        <v>-</v>
      </c>
    </row>
    <row r="9" spans="1:2" x14ac:dyDescent="0.35">
      <c r="A9" s="149" t="s">
        <v>135</v>
      </c>
      <c r="B9" s="153">
        <f>CBR!J26</f>
        <v>2</v>
      </c>
    </row>
    <row r="10" spans="1:2" x14ac:dyDescent="0.35">
      <c r="A10" s="149" t="s">
        <v>136</v>
      </c>
      <c r="B10" s="153">
        <f>DIN!J26</f>
        <v>4</v>
      </c>
    </row>
    <row r="11" spans="1:2" x14ac:dyDescent="0.35">
      <c r="A11" s="149" t="s">
        <v>137</v>
      </c>
      <c r="B11" s="153">
        <f>SIA!J26</f>
        <v>2</v>
      </c>
    </row>
    <row r="12" spans="1:2" x14ac:dyDescent="0.35">
      <c r="A12" s="149" t="s">
        <v>138</v>
      </c>
      <c r="B12" s="153">
        <f>SC!J26</f>
        <v>1</v>
      </c>
    </row>
    <row r="13" spans="1:2" x14ac:dyDescent="0.35">
      <c r="A13" s="149" t="s">
        <v>139</v>
      </c>
      <c r="B13" s="153" t="str">
        <f>SDN!J26</f>
        <v>-</v>
      </c>
    </row>
    <row r="14" spans="1:2" x14ac:dyDescent="0.35">
      <c r="A14" s="149" t="s">
        <v>140</v>
      </c>
      <c r="B14" s="153" t="str">
        <f>SDS!J26</f>
        <v>-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17110-7A17-4950-9BBD-DB38C22BD179}">
  <sheetPr>
    <tabColor theme="5" tint="0.79998168889431442"/>
  </sheetPr>
  <dimension ref="A1:B16"/>
  <sheetViews>
    <sheetView topLeftCell="A2" workbookViewId="0">
      <selection activeCell="B16" sqref="B16"/>
    </sheetView>
  </sheetViews>
  <sheetFormatPr defaultRowHeight="14.5" x14ac:dyDescent="0.35"/>
  <cols>
    <col min="1" max="1" width="32.453125" customWidth="1"/>
    <col min="2" max="2" width="14.453125" customWidth="1"/>
  </cols>
  <sheetData>
    <row r="1" spans="1:2" x14ac:dyDescent="0.35">
      <c r="A1" s="147" t="s">
        <v>146</v>
      </c>
    </row>
    <row r="3" spans="1:2" ht="56.5" x14ac:dyDescent="0.35">
      <c r="A3" s="151" t="s">
        <v>128</v>
      </c>
      <c r="B3" s="150" t="s">
        <v>146</v>
      </c>
    </row>
    <row r="4" spans="1:2" x14ac:dyDescent="0.35">
      <c r="A4" s="149" t="s">
        <v>130</v>
      </c>
      <c r="B4" s="153" t="str">
        <f>ADN!J27</f>
        <v>-</v>
      </c>
    </row>
    <row r="5" spans="1:2" x14ac:dyDescent="0.35">
      <c r="A5" s="149" t="s">
        <v>131</v>
      </c>
      <c r="B5" s="153" t="str">
        <f>ADS!J27</f>
        <v>-</v>
      </c>
    </row>
    <row r="6" spans="1:2" x14ac:dyDescent="0.35">
      <c r="A6" s="149" t="s">
        <v>132</v>
      </c>
      <c r="B6" s="153">
        <f>BAY!J27</f>
        <v>0</v>
      </c>
    </row>
    <row r="7" spans="1:2" x14ac:dyDescent="0.35">
      <c r="A7" s="149" t="s">
        <v>133</v>
      </c>
      <c r="B7" s="153" t="str">
        <f>BIS!J27</f>
        <v>-</v>
      </c>
    </row>
    <row r="8" spans="1:2" x14ac:dyDescent="0.35">
      <c r="A8" s="149" t="s">
        <v>134</v>
      </c>
      <c r="B8" s="153" t="str">
        <f>BUT!J27</f>
        <v>-</v>
      </c>
    </row>
    <row r="9" spans="1:2" x14ac:dyDescent="0.35">
      <c r="A9" s="149" t="s">
        <v>135</v>
      </c>
      <c r="B9" s="153" t="str">
        <f>CBR!J27</f>
        <v>-</v>
      </c>
    </row>
    <row r="10" spans="1:2" x14ac:dyDescent="0.35">
      <c r="A10" s="149" t="s">
        <v>136</v>
      </c>
      <c r="B10" s="153" t="str">
        <f>DIN!J27</f>
        <v>-</v>
      </c>
    </row>
    <row r="11" spans="1:2" x14ac:dyDescent="0.35">
      <c r="A11" s="149" t="s">
        <v>137</v>
      </c>
      <c r="B11" s="153" t="str">
        <f>SIA!J27</f>
        <v>-</v>
      </c>
    </row>
    <row r="12" spans="1:2" x14ac:dyDescent="0.35">
      <c r="A12" s="149" t="s">
        <v>138</v>
      </c>
      <c r="B12" s="153" t="str">
        <f>SC!J27</f>
        <v>-</v>
      </c>
    </row>
    <row r="13" spans="1:2" x14ac:dyDescent="0.35">
      <c r="A13" s="149" t="s">
        <v>139</v>
      </c>
      <c r="B13" s="153" t="str">
        <f>SDN!J27</f>
        <v>-</v>
      </c>
    </row>
    <row r="14" spans="1:2" x14ac:dyDescent="0.35">
      <c r="A14" s="149" t="s">
        <v>140</v>
      </c>
      <c r="B14" s="153" t="str">
        <f>SDS!J27</f>
        <v>-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4E5E-D646-4857-A70C-AC9FB09B5A3A}">
  <sheetPr>
    <tabColor theme="6" tint="0.79998168889431442"/>
  </sheetPr>
  <dimension ref="A1:C16"/>
  <sheetViews>
    <sheetView workbookViewId="0">
      <selection activeCell="C3" sqref="C3:C16"/>
    </sheetView>
  </sheetViews>
  <sheetFormatPr defaultRowHeight="14.5" x14ac:dyDescent="0.35"/>
  <cols>
    <col min="1" max="1" width="32.453125" customWidth="1"/>
    <col min="2" max="2" width="14.453125" customWidth="1"/>
    <col min="3" max="3" width="18.6328125" customWidth="1"/>
  </cols>
  <sheetData>
    <row r="1" spans="1:3" x14ac:dyDescent="0.35">
      <c r="A1" s="147" t="s">
        <v>147</v>
      </c>
    </row>
    <row r="3" spans="1:3" x14ac:dyDescent="0.35">
      <c r="A3" s="151" t="s">
        <v>128</v>
      </c>
      <c r="B3" s="150" t="s">
        <v>129</v>
      </c>
      <c r="C3" s="148" t="s">
        <v>149</v>
      </c>
    </row>
    <row r="4" spans="1:3" x14ac:dyDescent="0.35">
      <c r="A4" s="149" t="s">
        <v>130</v>
      </c>
      <c r="B4" s="149"/>
      <c r="C4" s="149"/>
    </row>
    <row r="5" spans="1:3" x14ac:dyDescent="0.35">
      <c r="A5" s="149" t="s">
        <v>131</v>
      </c>
      <c r="B5" s="149"/>
      <c r="C5" s="149"/>
    </row>
    <row r="6" spans="1:3" x14ac:dyDescent="0.35">
      <c r="A6" s="149" t="s">
        <v>132</v>
      </c>
      <c r="B6" s="149"/>
      <c r="C6" s="149"/>
    </row>
    <row r="7" spans="1:3" x14ac:dyDescent="0.35">
      <c r="A7" s="149" t="s">
        <v>133</v>
      </c>
      <c r="B7" s="149"/>
      <c r="C7" s="149"/>
    </row>
    <row r="8" spans="1:3" x14ac:dyDescent="0.35">
      <c r="A8" s="149" t="s">
        <v>134</v>
      </c>
      <c r="B8" s="149"/>
      <c r="C8" s="149"/>
    </row>
    <row r="9" spans="1:3" x14ac:dyDescent="0.35">
      <c r="A9" s="149" t="s">
        <v>135</v>
      </c>
      <c r="B9" s="149"/>
      <c r="C9" s="149"/>
    </row>
    <row r="10" spans="1:3" x14ac:dyDescent="0.35">
      <c r="A10" s="149" t="s">
        <v>136</v>
      </c>
      <c r="B10" s="149"/>
      <c r="C10" s="149"/>
    </row>
    <row r="11" spans="1:3" x14ac:dyDescent="0.35">
      <c r="A11" s="149" t="s">
        <v>137</v>
      </c>
      <c r="B11" s="149"/>
      <c r="C11" s="149"/>
    </row>
    <row r="12" spans="1:3" x14ac:dyDescent="0.35">
      <c r="A12" s="149" t="s">
        <v>138</v>
      </c>
      <c r="B12" s="149"/>
      <c r="C12" s="149"/>
    </row>
    <row r="13" spans="1:3" x14ac:dyDescent="0.35">
      <c r="A13" s="149" t="s">
        <v>139</v>
      </c>
      <c r="B13" s="149"/>
      <c r="C13" s="149"/>
    </row>
    <row r="14" spans="1:3" x14ac:dyDescent="0.35">
      <c r="A14" s="149" t="s">
        <v>140</v>
      </c>
      <c r="B14" s="149"/>
      <c r="C14" s="149"/>
    </row>
    <row r="15" spans="1:3" x14ac:dyDescent="0.35">
      <c r="A15" s="149" t="s">
        <v>141</v>
      </c>
      <c r="B15" s="149"/>
      <c r="C15" s="149"/>
    </row>
    <row r="16" spans="1:3" x14ac:dyDescent="0.35">
      <c r="A16" s="149" t="s">
        <v>142</v>
      </c>
      <c r="B16" s="149"/>
      <c r="C16" s="149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EA30-594E-4D65-8DEC-0FA9593F074C}">
  <sheetPr>
    <tabColor theme="6" tint="0.79998168889431442"/>
  </sheetPr>
  <dimension ref="A1:C16"/>
  <sheetViews>
    <sheetView workbookViewId="0">
      <selection activeCell="C3" sqref="C3:C16"/>
    </sheetView>
  </sheetViews>
  <sheetFormatPr defaultRowHeight="14.5" x14ac:dyDescent="0.35"/>
  <cols>
    <col min="1" max="1" width="32.453125" customWidth="1"/>
    <col min="2" max="2" width="14.453125" customWidth="1"/>
    <col min="3" max="3" width="18" customWidth="1"/>
  </cols>
  <sheetData>
    <row r="1" spans="1:3" x14ac:dyDescent="0.35">
      <c r="A1" s="147" t="s">
        <v>148</v>
      </c>
    </row>
    <row r="3" spans="1:3" x14ac:dyDescent="0.35">
      <c r="A3" s="151" t="s">
        <v>128</v>
      </c>
      <c r="B3" s="150" t="s">
        <v>129</v>
      </c>
      <c r="C3" s="148" t="s">
        <v>149</v>
      </c>
    </row>
    <row r="4" spans="1:3" x14ac:dyDescent="0.35">
      <c r="A4" s="149" t="s">
        <v>130</v>
      </c>
      <c r="B4" s="149"/>
      <c r="C4" s="149"/>
    </row>
    <row r="5" spans="1:3" x14ac:dyDescent="0.35">
      <c r="A5" s="149" t="s">
        <v>131</v>
      </c>
      <c r="B5" s="149"/>
      <c r="C5" s="149"/>
    </row>
    <row r="6" spans="1:3" x14ac:dyDescent="0.35">
      <c r="A6" s="149" t="s">
        <v>132</v>
      </c>
      <c r="B6" s="149"/>
      <c r="C6" s="149"/>
    </row>
    <row r="7" spans="1:3" x14ac:dyDescent="0.35">
      <c r="A7" s="149" t="s">
        <v>133</v>
      </c>
      <c r="B7" s="149"/>
      <c r="C7" s="149"/>
    </row>
    <row r="8" spans="1:3" x14ac:dyDescent="0.35">
      <c r="A8" s="149" t="s">
        <v>134</v>
      </c>
      <c r="B8" s="149"/>
      <c r="C8" s="149"/>
    </row>
    <row r="9" spans="1:3" x14ac:dyDescent="0.35">
      <c r="A9" s="149" t="s">
        <v>135</v>
      </c>
      <c r="B9" s="149"/>
      <c r="C9" s="149"/>
    </row>
    <row r="10" spans="1:3" x14ac:dyDescent="0.35">
      <c r="A10" s="149" t="s">
        <v>136</v>
      </c>
      <c r="B10" s="149"/>
      <c r="C10" s="149"/>
    </row>
    <row r="11" spans="1:3" x14ac:dyDescent="0.35">
      <c r="A11" s="149" t="s">
        <v>137</v>
      </c>
      <c r="B11" s="149"/>
      <c r="C11" s="149"/>
    </row>
    <row r="12" spans="1:3" x14ac:dyDescent="0.35">
      <c r="A12" s="149" t="s">
        <v>138</v>
      </c>
      <c r="B12" s="149"/>
      <c r="C12" s="149"/>
    </row>
    <row r="13" spans="1:3" x14ac:dyDescent="0.35">
      <c r="A13" s="149" t="s">
        <v>139</v>
      </c>
      <c r="B13" s="149"/>
      <c r="C13" s="149"/>
    </row>
    <row r="14" spans="1:3" x14ac:dyDescent="0.35">
      <c r="A14" s="149" t="s">
        <v>140</v>
      </c>
      <c r="B14" s="149"/>
      <c r="C14" s="149"/>
    </row>
    <row r="15" spans="1:3" x14ac:dyDescent="0.35">
      <c r="A15" s="149" t="s">
        <v>141</v>
      </c>
      <c r="B15" s="149"/>
      <c r="C15" s="149"/>
    </row>
    <row r="16" spans="1:3" x14ac:dyDescent="0.35">
      <c r="A16" s="149" t="s">
        <v>142</v>
      </c>
      <c r="B16" s="149"/>
      <c r="C16" s="149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AA66-4EA6-4AAB-9DB9-2035247FF342}">
  <sheetPr>
    <tabColor theme="6" tint="0.79998168889431442"/>
  </sheetPr>
  <dimension ref="A1:C16"/>
  <sheetViews>
    <sheetView workbookViewId="0">
      <selection activeCell="A2" sqref="A2"/>
    </sheetView>
  </sheetViews>
  <sheetFormatPr defaultRowHeight="14.5" x14ac:dyDescent="0.35"/>
  <cols>
    <col min="1" max="1" width="32.453125" customWidth="1"/>
    <col min="2" max="2" width="14.453125" customWidth="1"/>
    <col min="3" max="3" width="18" customWidth="1"/>
  </cols>
  <sheetData>
    <row r="1" spans="1:3" x14ac:dyDescent="0.35">
      <c r="A1" s="147" t="s">
        <v>150</v>
      </c>
    </row>
    <row r="3" spans="1:3" x14ac:dyDescent="0.35">
      <c r="A3" s="151" t="s">
        <v>128</v>
      </c>
      <c r="B3" s="150" t="s">
        <v>129</v>
      </c>
      <c r="C3" s="148" t="s">
        <v>149</v>
      </c>
    </row>
    <row r="4" spans="1:3" x14ac:dyDescent="0.35">
      <c r="A4" s="149" t="s">
        <v>130</v>
      </c>
      <c r="B4" s="149"/>
      <c r="C4" s="149"/>
    </row>
    <row r="5" spans="1:3" x14ac:dyDescent="0.35">
      <c r="A5" s="149" t="s">
        <v>131</v>
      </c>
      <c r="B5" s="149"/>
      <c r="C5" s="149"/>
    </row>
    <row r="6" spans="1:3" x14ac:dyDescent="0.35">
      <c r="A6" s="149" t="s">
        <v>132</v>
      </c>
      <c r="B6" s="149"/>
      <c r="C6" s="149"/>
    </row>
    <row r="7" spans="1:3" x14ac:dyDescent="0.35">
      <c r="A7" s="149" t="s">
        <v>133</v>
      </c>
      <c r="B7" s="149"/>
      <c r="C7" s="149"/>
    </row>
    <row r="8" spans="1:3" x14ac:dyDescent="0.35">
      <c r="A8" s="149" t="s">
        <v>134</v>
      </c>
      <c r="B8" s="149"/>
      <c r="C8" s="149"/>
    </row>
    <row r="9" spans="1:3" x14ac:dyDescent="0.35">
      <c r="A9" s="149" t="s">
        <v>135</v>
      </c>
      <c r="B9" s="149"/>
      <c r="C9" s="149"/>
    </row>
    <row r="10" spans="1:3" x14ac:dyDescent="0.35">
      <c r="A10" s="149" t="s">
        <v>136</v>
      </c>
      <c r="B10" s="149"/>
      <c r="C10" s="149"/>
    </row>
    <row r="11" spans="1:3" x14ac:dyDescent="0.35">
      <c r="A11" s="149" t="s">
        <v>137</v>
      </c>
      <c r="B11" s="149"/>
      <c r="C11" s="149"/>
    </row>
    <row r="12" spans="1:3" x14ac:dyDescent="0.35">
      <c r="A12" s="149" t="s">
        <v>138</v>
      </c>
      <c r="B12" s="149"/>
      <c r="C12" s="149"/>
    </row>
    <row r="13" spans="1:3" x14ac:dyDescent="0.35">
      <c r="A13" s="149" t="s">
        <v>139</v>
      </c>
      <c r="B13" s="149"/>
      <c r="C13" s="149"/>
    </row>
    <row r="14" spans="1:3" x14ac:dyDescent="0.35">
      <c r="A14" s="149" t="s">
        <v>140</v>
      </c>
      <c r="B14" s="149"/>
      <c r="C14" s="149"/>
    </row>
    <row r="15" spans="1:3" x14ac:dyDescent="0.35">
      <c r="A15" s="149" t="s">
        <v>141</v>
      </c>
      <c r="B15" s="149"/>
      <c r="C15" s="149"/>
    </row>
    <row r="16" spans="1:3" x14ac:dyDescent="0.35">
      <c r="A16" s="149" t="s">
        <v>142</v>
      </c>
      <c r="B16" s="149"/>
      <c r="C16" s="149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DFF5-FC68-4B8E-A401-BFE04F305DC3}">
  <sheetPr>
    <tabColor theme="6" tint="0.79998168889431442"/>
  </sheetPr>
  <dimension ref="A1:C16"/>
  <sheetViews>
    <sheetView workbookViewId="0">
      <selection activeCell="A2" sqref="A2"/>
    </sheetView>
  </sheetViews>
  <sheetFormatPr defaultRowHeight="14.5" x14ac:dyDescent="0.35"/>
  <cols>
    <col min="1" max="1" width="32.453125" customWidth="1"/>
    <col min="2" max="2" width="14.453125" customWidth="1"/>
    <col min="3" max="3" width="18" customWidth="1"/>
  </cols>
  <sheetData>
    <row r="1" spans="1:3" x14ac:dyDescent="0.35">
      <c r="A1" s="147" t="s">
        <v>151</v>
      </c>
    </row>
    <row r="3" spans="1:3" x14ac:dyDescent="0.35">
      <c r="A3" s="151" t="s">
        <v>128</v>
      </c>
      <c r="B3" s="150" t="s">
        <v>129</v>
      </c>
      <c r="C3" s="148" t="s">
        <v>149</v>
      </c>
    </row>
    <row r="4" spans="1:3" x14ac:dyDescent="0.35">
      <c r="A4" s="149" t="s">
        <v>130</v>
      </c>
      <c r="B4" s="149"/>
      <c r="C4" s="149"/>
    </row>
    <row r="5" spans="1:3" x14ac:dyDescent="0.35">
      <c r="A5" s="149" t="s">
        <v>131</v>
      </c>
      <c r="B5" s="149"/>
      <c r="C5" s="149"/>
    </row>
    <row r="6" spans="1:3" x14ac:dyDescent="0.35">
      <c r="A6" s="149" t="s">
        <v>132</v>
      </c>
      <c r="B6" s="149"/>
      <c r="C6" s="149"/>
    </row>
    <row r="7" spans="1:3" x14ac:dyDescent="0.35">
      <c r="A7" s="149" t="s">
        <v>133</v>
      </c>
      <c r="B7" s="149"/>
      <c r="C7" s="149"/>
    </row>
    <row r="8" spans="1:3" x14ac:dyDescent="0.35">
      <c r="A8" s="149" t="s">
        <v>134</v>
      </c>
      <c r="B8" s="149"/>
      <c r="C8" s="149"/>
    </row>
    <row r="9" spans="1:3" x14ac:dyDescent="0.35">
      <c r="A9" s="149" t="s">
        <v>135</v>
      </c>
      <c r="B9" s="149"/>
      <c r="C9" s="149"/>
    </row>
    <row r="10" spans="1:3" x14ac:dyDescent="0.35">
      <c r="A10" s="149" t="s">
        <v>136</v>
      </c>
      <c r="B10" s="149"/>
      <c r="C10" s="149"/>
    </row>
    <row r="11" spans="1:3" x14ac:dyDescent="0.35">
      <c r="A11" s="149" t="s">
        <v>137</v>
      </c>
      <c r="B11" s="149"/>
      <c r="C11" s="149"/>
    </row>
    <row r="12" spans="1:3" x14ac:dyDescent="0.35">
      <c r="A12" s="149" t="s">
        <v>138</v>
      </c>
      <c r="B12" s="149"/>
      <c r="C12" s="149"/>
    </row>
    <row r="13" spans="1:3" x14ac:dyDescent="0.35">
      <c r="A13" s="149" t="s">
        <v>139</v>
      </c>
      <c r="B13" s="149"/>
      <c r="C13" s="149"/>
    </row>
    <row r="14" spans="1:3" x14ac:dyDescent="0.35">
      <c r="A14" s="149" t="s">
        <v>140</v>
      </c>
      <c r="B14" s="149"/>
      <c r="C14" s="149"/>
    </row>
    <row r="15" spans="1:3" x14ac:dyDescent="0.35">
      <c r="A15" s="149" t="s">
        <v>141</v>
      </c>
      <c r="B15" s="149"/>
      <c r="C15" s="149"/>
    </row>
    <row r="16" spans="1:3" x14ac:dyDescent="0.35">
      <c r="A16" s="149" t="s">
        <v>142</v>
      </c>
      <c r="B16" s="149"/>
      <c r="C16" s="149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5E87-D394-40E4-9BAF-B7DA5D7CBDCB}">
  <sheetPr>
    <tabColor theme="6" tint="0.79998168889431442"/>
  </sheetPr>
  <dimension ref="A1:C16"/>
  <sheetViews>
    <sheetView workbookViewId="0">
      <selection activeCell="A2" sqref="A2"/>
    </sheetView>
  </sheetViews>
  <sheetFormatPr defaultRowHeight="14.5" x14ac:dyDescent="0.35"/>
  <cols>
    <col min="1" max="1" width="32.453125" customWidth="1"/>
    <col min="2" max="2" width="14.453125" customWidth="1"/>
    <col min="3" max="3" width="18" customWidth="1"/>
  </cols>
  <sheetData>
    <row r="1" spans="1:3" x14ac:dyDescent="0.35">
      <c r="A1" s="147" t="s">
        <v>152</v>
      </c>
    </row>
    <row r="3" spans="1:3" x14ac:dyDescent="0.35">
      <c r="A3" s="151" t="s">
        <v>128</v>
      </c>
      <c r="B3" s="150" t="s">
        <v>129</v>
      </c>
      <c r="C3" s="148" t="s">
        <v>149</v>
      </c>
    </row>
    <row r="4" spans="1:3" x14ac:dyDescent="0.35">
      <c r="A4" s="149" t="s">
        <v>130</v>
      </c>
      <c r="B4" s="149"/>
      <c r="C4" s="149"/>
    </row>
    <row r="5" spans="1:3" x14ac:dyDescent="0.35">
      <c r="A5" s="149" t="s">
        <v>131</v>
      </c>
      <c r="B5" s="149"/>
      <c r="C5" s="149"/>
    </row>
    <row r="6" spans="1:3" x14ac:dyDescent="0.35">
      <c r="A6" s="149" t="s">
        <v>132</v>
      </c>
      <c r="B6" s="149"/>
      <c r="C6" s="149"/>
    </row>
    <row r="7" spans="1:3" x14ac:dyDescent="0.35">
      <c r="A7" s="149" t="s">
        <v>133</v>
      </c>
      <c r="B7" s="149"/>
      <c r="C7" s="149"/>
    </row>
    <row r="8" spans="1:3" x14ac:dyDescent="0.35">
      <c r="A8" s="149" t="s">
        <v>134</v>
      </c>
      <c r="B8" s="149"/>
      <c r="C8" s="149"/>
    </row>
    <row r="9" spans="1:3" x14ac:dyDescent="0.35">
      <c r="A9" s="149" t="s">
        <v>135</v>
      </c>
      <c r="B9" s="149"/>
      <c r="C9" s="149"/>
    </row>
    <row r="10" spans="1:3" x14ac:dyDescent="0.35">
      <c r="A10" s="149" t="s">
        <v>136</v>
      </c>
      <c r="B10" s="149"/>
      <c r="C10" s="149"/>
    </row>
    <row r="11" spans="1:3" x14ac:dyDescent="0.35">
      <c r="A11" s="149" t="s">
        <v>137</v>
      </c>
      <c r="B11" s="149"/>
      <c r="C11" s="149"/>
    </row>
    <row r="12" spans="1:3" x14ac:dyDescent="0.35">
      <c r="A12" s="149" t="s">
        <v>138</v>
      </c>
      <c r="B12" s="149"/>
      <c r="C12" s="149"/>
    </row>
    <row r="13" spans="1:3" x14ac:dyDescent="0.35">
      <c r="A13" s="149" t="s">
        <v>139</v>
      </c>
      <c r="B13" s="149"/>
      <c r="C13" s="149"/>
    </row>
    <row r="14" spans="1:3" x14ac:dyDescent="0.35">
      <c r="A14" s="149" t="s">
        <v>140</v>
      </c>
      <c r="B14" s="149"/>
      <c r="C14" s="149"/>
    </row>
    <row r="15" spans="1:3" x14ac:dyDescent="0.35">
      <c r="A15" s="149" t="s">
        <v>141</v>
      </c>
      <c r="B15" s="149"/>
      <c r="C15" s="149"/>
    </row>
    <row r="16" spans="1:3" x14ac:dyDescent="0.35">
      <c r="A16" s="149" t="s">
        <v>142</v>
      </c>
      <c r="B16" s="149"/>
      <c r="C16" s="149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7125-7ADD-46E3-B9E6-60A8E38AE5B7}">
  <sheetPr>
    <tabColor theme="6" tint="0.79998168889431442"/>
  </sheetPr>
  <dimension ref="A1:C16"/>
  <sheetViews>
    <sheetView workbookViewId="0">
      <selection activeCell="A2" sqref="A2"/>
    </sheetView>
  </sheetViews>
  <sheetFormatPr defaultRowHeight="14.5" x14ac:dyDescent="0.35"/>
  <cols>
    <col min="1" max="1" width="32.453125" customWidth="1"/>
    <col min="2" max="2" width="14.453125" customWidth="1"/>
    <col min="3" max="3" width="18" customWidth="1"/>
  </cols>
  <sheetData>
    <row r="1" spans="1:3" x14ac:dyDescent="0.35">
      <c r="A1" s="147" t="s">
        <v>153</v>
      </c>
    </row>
    <row r="3" spans="1:3" x14ac:dyDescent="0.35">
      <c r="A3" s="151" t="s">
        <v>128</v>
      </c>
      <c r="B3" s="150" t="s">
        <v>129</v>
      </c>
      <c r="C3" s="148" t="s">
        <v>149</v>
      </c>
    </row>
    <row r="4" spans="1:3" x14ac:dyDescent="0.35">
      <c r="A4" s="149" t="s">
        <v>130</v>
      </c>
      <c r="B4" s="149"/>
      <c r="C4" s="149"/>
    </row>
    <row r="5" spans="1:3" x14ac:dyDescent="0.35">
      <c r="A5" s="149" t="s">
        <v>131</v>
      </c>
      <c r="B5" s="149"/>
      <c r="C5" s="149"/>
    </row>
    <row r="6" spans="1:3" x14ac:dyDescent="0.35">
      <c r="A6" s="149" t="s">
        <v>132</v>
      </c>
      <c r="B6" s="149"/>
      <c r="C6" s="149"/>
    </row>
    <row r="7" spans="1:3" x14ac:dyDescent="0.35">
      <c r="A7" s="149" t="s">
        <v>133</v>
      </c>
      <c r="B7" s="149"/>
      <c r="C7" s="149"/>
    </row>
    <row r="8" spans="1:3" x14ac:dyDescent="0.35">
      <c r="A8" s="149" t="s">
        <v>134</v>
      </c>
      <c r="B8" s="149"/>
      <c r="C8" s="149"/>
    </row>
    <row r="9" spans="1:3" x14ac:dyDescent="0.35">
      <c r="A9" s="149" t="s">
        <v>135</v>
      </c>
      <c r="B9" s="149"/>
      <c r="C9" s="149"/>
    </row>
    <row r="10" spans="1:3" x14ac:dyDescent="0.35">
      <c r="A10" s="149" t="s">
        <v>136</v>
      </c>
      <c r="B10" s="149"/>
      <c r="C10" s="149"/>
    </row>
    <row r="11" spans="1:3" x14ac:dyDescent="0.35">
      <c r="A11" s="149" t="s">
        <v>137</v>
      </c>
      <c r="B11" s="149"/>
      <c r="C11" s="149"/>
    </row>
    <row r="12" spans="1:3" x14ac:dyDescent="0.35">
      <c r="A12" s="149" t="s">
        <v>138</v>
      </c>
      <c r="B12" s="149"/>
      <c r="C12" s="149"/>
    </row>
    <row r="13" spans="1:3" x14ac:dyDescent="0.35">
      <c r="A13" s="149" t="s">
        <v>139</v>
      </c>
      <c r="B13" s="149"/>
      <c r="C13" s="149"/>
    </row>
    <row r="14" spans="1:3" x14ac:dyDescent="0.35">
      <c r="A14" s="149" t="s">
        <v>140</v>
      </c>
      <c r="B14" s="149"/>
      <c r="C14" s="149"/>
    </row>
    <row r="15" spans="1:3" x14ac:dyDescent="0.35">
      <c r="A15" s="149" t="s">
        <v>141</v>
      </c>
      <c r="B15" s="149"/>
      <c r="C15" s="149"/>
    </row>
    <row r="16" spans="1:3" x14ac:dyDescent="0.35">
      <c r="A16" s="149" t="s">
        <v>142</v>
      </c>
      <c r="B16" s="149"/>
      <c r="C16" s="149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F00E-6C53-425D-92E1-E09DA272E09C}">
  <sheetPr>
    <tabColor theme="6" tint="0.79998168889431442"/>
  </sheetPr>
  <dimension ref="A1:C16"/>
  <sheetViews>
    <sheetView workbookViewId="0">
      <selection activeCell="A2" sqref="A2"/>
    </sheetView>
  </sheetViews>
  <sheetFormatPr defaultRowHeight="14.5" x14ac:dyDescent="0.35"/>
  <cols>
    <col min="1" max="1" width="32.453125" customWidth="1"/>
    <col min="2" max="2" width="14.453125" customWidth="1"/>
    <col min="3" max="3" width="18" customWidth="1"/>
  </cols>
  <sheetData>
    <row r="1" spans="1:3" x14ac:dyDescent="0.35">
      <c r="A1" s="147" t="s">
        <v>154</v>
      </c>
    </row>
    <row r="3" spans="1:3" x14ac:dyDescent="0.35">
      <c r="A3" s="151" t="s">
        <v>128</v>
      </c>
      <c r="B3" s="150" t="s">
        <v>129</v>
      </c>
      <c r="C3" s="148" t="s">
        <v>149</v>
      </c>
    </row>
    <row r="4" spans="1:3" x14ac:dyDescent="0.35">
      <c r="A4" s="149" t="s">
        <v>130</v>
      </c>
      <c r="B4" s="149"/>
      <c r="C4" s="149"/>
    </row>
    <row r="5" spans="1:3" x14ac:dyDescent="0.35">
      <c r="A5" s="149" t="s">
        <v>131</v>
      </c>
      <c r="B5" s="149"/>
      <c r="C5" s="149"/>
    </row>
    <row r="6" spans="1:3" x14ac:dyDescent="0.35">
      <c r="A6" s="149" t="s">
        <v>132</v>
      </c>
      <c r="B6" s="149"/>
      <c r="C6" s="149"/>
    </row>
    <row r="7" spans="1:3" x14ac:dyDescent="0.35">
      <c r="A7" s="149" t="s">
        <v>133</v>
      </c>
      <c r="B7" s="149"/>
      <c r="C7" s="149"/>
    </row>
    <row r="8" spans="1:3" x14ac:dyDescent="0.35">
      <c r="A8" s="149" t="s">
        <v>134</v>
      </c>
      <c r="B8" s="149"/>
      <c r="C8" s="149"/>
    </row>
    <row r="9" spans="1:3" x14ac:dyDescent="0.35">
      <c r="A9" s="149" t="s">
        <v>135</v>
      </c>
      <c r="B9" s="149"/>
      <c r="C9" s="149"/>
    </row>
    <row r="10" spans="1:3" x14ac:dyDescent="0.35">
      <c r="A10" s="149" t="s">
        <v>136</v>
      </c>
      <c r="B10" s="149"/>
      <c r="C10" s="149"/>
    </row>
    <row r="11" spans="1:3" x14ac:dyDescent="0.35">
      <c r="A11" s="149" t="s">
        <v>137</v>
      </c>
      <c r="B11" s="149"/>
      <c r="C11" s="149"/>
    </row>
    <row r="12" spans="1:3" x14ac:dyDescent="0.35">
      <c r="A12" s="149" t="s">
        <v>138</v>
      </c>
      <c r="B12" s="149"/>
      <c r="C12" s="149"/>
    </row>
    <row r="13" spans="1:3" x14ac:dyDescent="0.35">
      <c r="A13" s="149" t="s">
        <v>139</v>
      </c>
      <c r="B13" s="149"/>
      <c r="C13" s="149"/>
    </row>
    <row r="14" spans="1:3" x14ac:dyDescent="0.35">
      <c r="A14" s="149" t="s">
        <v>140</v>
      </c>
      <c r="B14" s="149"/>
      <c r="C14" s="149"/>
    </row>
    <row r="15" spans="1:3" x14ac:dyDescent="0.35">
      <c r="A15" s="149" t="s">
        <v>141</v>
      </c>
      <c r="B15" s="149"/>
      <c r="C15" s="149"/>
    </row>
    <row r="16" spans="1:3" x14ac:dyDescent="0.35">
      <c r="A16" s="149" t="s">
        <v>142</v>
      </c>
      <c r="B16" s="149"/>
      <c r="C16" s="149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6A8A-5EB6-445A-98EC-10656C514887}">
  <sheetPr>
    <tabColor theme="6" tint="0.79998168889431442"/>
  </sheetPr>
  <dimension ref="A1:C16"/>
  <sheetViews>
    <sheetView workbookViewId="0">
      <selection activeCell="A2" sqref="A2"/>
    </sheetView>
  </sheetViews>
  <sheetFormatPr defaultRowHeight="14.5" x14ac:dyDescent="0.35"/>
  <cols>
    <col min="1" max="1" width="32.453125" customWidth="1"/>
    <col min="2" max="2" width="14.453125" customWidth="1"/>
    <col min="3" max="3" width="18" customWidth="1"/>
  </cols>
  <sheetData>
    <row r="1" spans="1:3" x14ac:dyDescent="0.35">
      <c r="A1" s="147" t="s">
        <v>155</v>
      </c>
    </row>
    <row r="3" spans="1:3" x14ac:dyDescent="0.35">
      <c r="A3" s="151" t="s">
        <v>128</v>
      </c>
      <c r="B3" s="150" t="s">
        <v>129</v>
      </c>
      <c r="C3" s="148" t="s">
        <v>149</v>
      </c>
    </row>
    <row r="4" spans="1:3" x14ac:dyDescent="0.35">
      <c r="A4" s="149" t="s">
        <v>130</v>
      </c>
      <c r="B4" s="149"/>
      <c r="C4" s="149"/>
    </row>
    <row r="5" spans="1:3" x14ac:dyDescent="0.35">
      <c r="A5" s="149" t="s">
        <v>131</v>
      </c>
      <c r="B5" s="149"/>
      <c r="C5" s="149"/>
    </row>
    <row r="6" spans="1:3" x14ac:dyDescent="0.35">
      <c r="A6" s="149" t="s">
        <v>132</v>
      </c>
      <c r="B6" s="149"/>
      <c r="C6" s="149"/>
    </row>
    <row r="7" spans="1:3" x14ac:dyDescent="0.35">
      <c r="A7" s="149" t="s">
        <v>133</v>
      </c>
      <c r="B7" s="149"/>
      <c r="C7" s="149"/>
    </row>
    <row r="8" spans="1:3" x14ac:dyDescent="0.35">
      <c r="A8" s="149" t="s">
        <v>134</v>
      </c>
      <c r="B8" s="149"/>
      <c r="C8" s="149"/>
    </row>
    <row r="9" spans="1:3" x14ac:dyDescent="0.35">
      <c r="A9" s="149" t="s">
        <v>135</v>
      </c>
      <c r="B9" s="149"/>
      <c r="C9" s="149"/>
    </row>
    <row r="10" spans="1:3" x14ac:dyDescent="0.35">
      <c r="A10" s="149" t="s">
        <v>136</v>
      </c>
      <c r="B10" s="149"/>
      <c r="C10" s="149"/>
    </row>
    <row r="11" spans="1:3" x14ac:dyDescent="0.35">
      <c r="A11" s="149" t="s">
        <v>137</v>
      </c>
      <c r="B11" s="149"/>
      <c r="C11" s="149"/>
    </row>
    <row r="12" spans="1:3" x14ac:dyDescent="0.35">
      <c r="A12" s="149" t="s">
        <v>138</v>
      </c>
      <c r="B12" s="149"/>
      <c r="C12" s="149"/>
    </row>
    <row r="13" spans="1:3" x14ac:dyDescent="0.35">
      <c r="A13" s="149" t="s">
        <v>139</v>
      </c>
      <c r="B13" s="149"/>
      <c r="C13" s="149"/>
    </row>
    <row r="14" spans="1:3" x14ac:dyDescent="0.35">
      <c r="A14" s="149" t="s">
        <v>140</v>
      </c>
      <c r="B14" s="149"/>
      <c r="C14" s="149"/>
    </row>
    <row r="15" spans="1:3" x14ac:dyDescent="0.35">
      <c r="A15" s="149" t="s">
        <v>141</v>
      </c>
      <c r="B15" s="149"/>
      <c r="C15" s="149"/>
    </row>
    <row r="16" spans="1:3" x14ac:dyDescent="0.35">
      <c r="A16" s="149" t="s">
        <v>142</v>
      </c>
      <c r="B16" s="149"/>
      <c r="C16" s="149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443A-BA3B-4EA3-AFF9-12F0905E0CC3}">
  <sheetPr>
    <tabColor theme="6" tint="0.79998168889431442"/>
  </sheetPr>
  <dimension ref="A1:C16"/>
  <sheetViews>
    <sheetView workbookViewId="0">
      <selection activeCell="A2" sqref="A2"/>
    </sheetView>
  </sheetViews>
  <sheetFormatPr defaultRowHeight="14.5" x14ac:dyDescent="0.35"/>
  <cols>
    <col min="1" max="1" width="32.453125" customWidth="1"/>
    <col min="2" max="2" width="14.453125" customWidth="1"/>
    <col min="3" max="3" width="18" customWidth="1"/>
  </cols>
  <sheetData>
    <row r="1" spans="1:3" x14ac:dyDescent="0.35">
      <c r="A1" s="147" t="s">
        <v>156</v>
      </c>
    </row>
    <row r="3" spans="1:3" x14ac:dyDescent="0.35">
      <c r="A3" s="151" t="s">
        <v>128</v>
      </c>
      <c r="B3" s="150" t="s">
        <v>129</v>
      </c>
      <c r="C3" s="148" t="s">
        <v>149</v>
      </c>
    </row>
    <row r="4" spans="1:3" x14ac:dyDescent="0.35">
      <c r="A4" s="149" t="s">
        <v>130</v>
      </c>
      <c r="B4" s="149"/>
      <c r="C4" s="149"/>
    </row>
    <row r="5" spans="1:3" x14ac:dyDescent="0.35">
      <c r="A5" s="149" t="s">
        <v>131</v>
      </c>
      <c r="B5" s="149"/>
      <c r="C5" s="149"/>
    </row>
    <row r="6" spans="1:3" x14ac:dyDescent="0.35">
      <c r="A6" s="149" t="s">
        <v>132</v>
      </c>
      <c r="B6" s="149"/>
      <c r="C6" s="149"/>
    </row>
    <row r="7" spans="1:3" x14ac:dyDescent="0.35">
      <c r="A7" s="149" t="s">
        <v>133</v>
      </c>
      <c r="B7" s="149"/>
      <c r="C7" s="149"/>
    </row>
    <row r="8" spans="1:3" x14ac:dyDescent="0.35">
      <c r="A8" s="149" t="s">
        <v>134</v>
      </c>
      <c r="B8" s="149"/>
      <c r="C8" s="149"/>
    </row>
    <row r="9" spans="1:3" x14ac:dyDescent="0.35">
      <c r="A9" s="149" t="s">
        <v>135</v>
      </c>
      <c r="B9" s="149"/>
      <c r="C9" s="149"/>
    </row>
    <row r="10" spans="1:3" x14ac:dyDescent="0.35">
      <c r="A10" s="149" t="s">
        <v>136</v>
      </c>
      <c r="B10" s="149"/>
      <c r="C10" s="149"/>
    </row>
    <row r="11" spans="1:3" x14ac:dyDescent="0.35">
      <c r="A11" s="149" t="s">
        <v>137</v>
      </c>
      <c r="B11" s="149"/>
      <c r="C11" s="149"/>
    </row>
    <row r="12" spans="1:3" x14ac:dyDescent="0.35">
      <c r="A12" s="149" t="s">
        <v>138</v>
      </c>
      <c r="B12" s="149"/>
      <c r="C12" s="149"/>
    </row>
    <row r="13" spans="1:3" x14ac:dyDescent="0.35">
      <c r="A13" s="149" t="s">
        <v>139</v>
      </c>
      <c r="B13" s="149"/>
      <c r="C13" s="149"/>
    </row>
    <row r="14" spans="1:3" x14ac:dyDescent="0.35">
      <c r="A14" s="149" t="s">
        <v>140</v>
      </c>
      <c r="B14" s="149"/>
      <c r="C14" s="149"/>
    </row>
    <row r="15" spans="1:3" x14ac:dyDescent="0.35">
      <c r="A15" s="149" t="s">
        <v>141</v>
      </c>
      <c r="B15" s="149"/>
      <c r="C15" s="149"/>
    </row>
    <row r="16" spans="1:3" x14ac:dyDescent="0.35">
      <c r="A16" s="149" t="s">
        <v>142</v>
      </c>
      <c r="B16" s="149"/>
      <c r="C16" s="149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A0BF-0BAF-4C54-883C-15AA434D192E}">
  <sheetPr>
    <tabColor theme="6" tint="0.79998168889431442"/>
  </sheetPr>
  <dimension ref="A1:C16"/>
  <sheetViews>
    <sheetView workbookViewId="0">
      <selection activeCell="A2" sqref="A2"/>
    </sheetView>
  </sheetViews>
  <sheetFormatPr defaultRowHeight="14.5" x14ac:dyDescent="0.35"/>
  <cols>
    <col min="1" max="1" width="32.453125" customWidth="1"/>
    <col min="2" max="2" width="14.453125" customWidth="1"/>
    <col min="3" max="3" width="18" customWidth="1"/>
  </cols>
  <sheetData>
    <row r="1" spans="1:3" x14ac:dyDescent="0.35">
      <c r="A1" s="147" t="s">
        <v>157</v>
      </c>
    </row>
    <row r="3" spans="1:3" x14ac:dyDescent="0.35">
      <c r="A3" s="151" t="s">
        <v>128</v>
      </c>
      <c r="B3" s="150" t="s">
        <v>129</v>
      </c>
      <c r="C3" s="148" t="s">
        <v>149</v>
      </c>
    </row>
    <row r="4" spans="1:3" x14ac:dyDescent="0.35">
      <c r="A4" s="149" t="s">
        <v>130</v>
      </c>
      <c r="B4" s="149"/>
      <c r="C4" s="149"/>
    </row>
    <row r="5" spans="1:3" x14ac:dyDescent="0.35">
      <c r="A5" s="149" t="s">
        <v>131</v>
      </c>
      <c r="B5" s="149"/>
      <c r="C5" s="149"/>
    </row>
    <row r="6" spans="1:3" x14ac:dyDescent="0.35">
      <c r="A6" s="149" t="s">
        <v>132</v>
      </c>
      <c r="B6" s="149"/>
      <c r="C6" s="149"/>
    </row>
    <row r="7" spans="1:3" x14ac:dyDescent="0.35">
      <c r="A7" s="149" t="s">
        <v>133</v>
      </c>
      <c r="B7" s="149"/>
      <c r="C7" s="149"/>
    </row>
    <row r="8" spans="1:3" x14ac:dyDescent="0.35">
      <c r="A8" s="149" t="s">
        <v>134</v>
      </c>
      <c r="B8" s="149"/>
      <c r="C8" s="149"/>
    </row>
    <row r="9" spans="1:3" x14ac:dyDescent="0.35">
      <c r="A9" s="149" t="s">
        <v>135</v>
      </c>
      <c r="B9" s="149"/>
      <c r="C9" s="149"/>
    </row>
    <row r="10" spans="1:3" x14ac:dyDescent="0.35">
      <c r="A10" s="149" t="s">
        <v>136</v>
      </c>
      <c r="B10" s="149"/>
      <c r="C10" s="149"/>
    </row>
    <row r="11" spans="1:3" x14ac:dyDescent="0.35">
      <c r="A11" s="149" t="s">
        <v>137</v>
      </c>
      <c r="B11" s="149"/>
      <c r="C11" s="149"/>
    </row>
    <row r="12" spans="1:3" x14ac:dyDescent="0.35">
      <c r="A12" s="149" t="s">
        <v>138</v>
      </c>
      <c r="B12" s="149"/>
      <c r="C12" s="149"/>
    </row>
    <row r="13" spans="1:3" x14ac:dyDescent="0.35">
      <c r="A13" s="149" t="s">
        <v>139</v>
      </c>
      <c r="B13" s="149"/>
      <c r="C13" s="149"/>
    </row>
    <row r="14" spans="1:3" x14ac:dyDescent="0.35">
      <c r="A14" s="149" t="s">
        <v>140</v>
      </c>
      <c r="B14" s="149"/>
      <c r="C14" s="149"/>
    </row>
    <row r="15" spans="1:3" x14ac:dyDescent="0.35">
      <c r="A15" s="149" t="s">
        <v>141</v>
      </c>
      <c r="B15" s="149"/>
      <c r="C15" s="149"/>
    </row>
    <row r="16" spans="1:3" x14ac:dyDescent="0.35">
      <c r="A16" s="149" t="s">
        <v>142</v>
      </c>
      <c r="B16" s="149"/>
      <c r="C16" s="149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A933-E17A-4F09-A36B-2449037C8791}">
  <sheetPr>
    <tabColor theme="6" tint="0.79998168889431442"/>
  </sheetPr>
  <dimension ref="A1:C16"/>
  <sheetViews>
    <sheetView workbookViewId="0">
      <selection activeCell="A2" sqref="A2"/>
    </sheetView>
  </sheetViews>
  <sheetFormatPr defaultRowHeight="14.5" x14ac:dyDescent="0.35"/>
  <cols>
    <col min="1" max="1" width="32.453125" customWidth="1"/>
    <col min="2" max="2" width="14.453125" customWidth="1"/>
    <col min="3" max="3" width="18" customWidth="1"/>
  </cols>
  <sheetData>
    <row r="1" spans="1:3" x14ac:dyDescent="0.35">
      <c r="A1" s="147" t="s">
        <v>158</v>
      </c>
    </row>
    <row r="3" spans="1:3" x14ac:dyDescent="0.35">
      <c r="A3" s="151" t="s">
        <v>128</v>
      </c>
      <c r="B3" s="150" t="s">
        <v>129</v>
      </c>
      <c r="C3" s="148" t="s">
        <v>149</v>
      </c>
    </row>
    <row r="4" spans="1:3" x14ac:dyDescent="0.35">
      <c r="A4" s="149" t="s">
        <v>130</v>
      </c>
      <c r="B4" s="149"/>
      <c r="C4" s="149"/>
    </row>
    <row r="5" spans="1:3" x14ac:dyDescent="0.35">
      <c r="A5" s="149" t="s">
        <v>131</v>
      </c>
      <c r="B5" s="149"/>
      <c r="C5" s="149"/>
    </row>
    <row r="6" spans="1:3" x14ac:dyDescent="0.35">
      <c r="A6" s="149" t="s">
        <v>132</v>
      </c>
      <c r="B6" s="149"/>
      <c r="C6" s="149"/>
    </row>
    <row r="7" spans="1:3" x14ac:dyDescent="0.35">
      <c r="A7" s="149" t="s">
        <v>133</v>
      </c>
      <c r="B7" s="149"/>
      <c r="C7" s="149"/>
    </row>
    <row r="8" spans="1:3" x14ac:dyDescent="0.35">
      <c r="A8" s="149" t="s">
        <v>134</v>
      </c>
      <c r="B8" s="149"/>
      <c r="C8" s="149"/>
    </row>
    <row r="9" spans="1:3" x14ac:dyDescent="0.35">
      <c r="A9" s="149" t="s">
        <v>135</v>
      </c>
      <c r="B9" s="149"/>
      <c r="C9" s="149"/>
    </row>
    <row r="10" spans="1:3" x14ac:dyDescent="0.35">
      <c r="A10" s="149" t="s">
        <v>136</v>
      </c>
      <c r="B10" s="149"/>
      <c r="C10" s="149"/>
    </row>
    <row r="11" spans="1:3" x14ac:dyDescent="0.35">
      <c r="A11" s="149" t="s">
        <v>137</v>
      </c>
      <c r="B11" s="149"/>
      <c r="C11" s="149"/>
    </row>
    <row r="12" spans="1:3" x14ac:dyDescent="0.35">
      <c r="A12" s="149" t="s">
        <v>138</v>
      </c>
      <c r="B12" s="149"/>
      <c r="C12" s="149"/>
    </row>
    <row r="13" spans="1:3" x14ac:dyDescent="0.35">
      <c r="A13" s="149" t="s">
        <v>139</v>
      </c>
      <c r="B13" s="149"/>
      <c r="C13" s="149"/>
    </row>
    <row r="14" spans="1:3" x14ac:dyDescent="0.35">
      <c r="A14" s="149" t="s">
        <v>140</v>
      </c>
      <c r="B14" s="149"/>
      <c r="C14" s="149"/>
    </row>
    <row r="15" spans="1:3" x14ac:dyDescent="0.35">
      <c r="A15" s="149" t="s">
        <v>141</v>
      </c>
      <c r="B15" s="149"/>
      <c r="C15" s="149"/>
    </row>
    <row r="16" spans="1:3" x14ac:dyDescent="0.35">
      <c r="A16" s="149" t="s">
        <v>142</v>
      </c>
      <c r="B16" s="149"/>
      <c r="C16" s="149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34B8-A152-434A-B30C-308485721EB9}">
  <sheetPr>
    <tabColor theme="6" tint="0.79998168889431442"/>
  </sheetPr>
  <dimension ref="A1:C16"/>
  <sheetViews>
    <sheetView workbookViewId="0">
      <selection activeCell="A2" sqref="A2"/>
    </sheetView>
  </sheetViews>
  <sheetFormatPr defaultRowHeight="14.5" x14ac:dyDescent="0.35"/>
  <cols>
    <col min="1" max="1" width="32.453125" customWidth="1"/>
    <col min="2" max="2" width="14.453125" customWidth="1"/>
    <col min="3" max="3" width="18" customWidth="1"/>
  </cols>
  <sheetData>
    <row r="1" spans="1:3" x14ac:dyDescent="0.35">
      <c r="A1" s="147" t="s">
        <v>159</v>
      </c>
    </row>
    <row r="3" spans="1:3" x14ac:dyDescent="0.35">
      <c r="A3" s="151" t="s">
        <v>128</v>
      </c>
      <c r="B3" s="150" t="s">
        <v>129</v>
      </c>
      <c r="C3" s="148" t="s">
        <v>149</v>
      </c>
    </row>
    <row r="4" spans="1:3" x14ac:dyDescent="0.35">
      <c r="A4" s="149" t="s">
        <v>130</v>
      </c>
      <c r="B4" s="149"/>
      <c r="C4" s="149"/>
    </row>
    <row r="5" spans="1:3" x14ac:dyDescent="0.35">
      <c r="A5" s="149" t="s">
        <v>131</v>
      </c>
      <c r="B5" s="149"/>
      <c r="C5" s="149"/>
    </row>
    <row r="6" spans="1:3" x14ac:dyDescent="0.35">
      <c r="A6" s="149" t="s">
        <v>132</v>
      </c>
      <c r="B6" s="149"/>
      <c r="C6" s="149"/>
    </row>
    <row r="7" spans="1:3" x14ac:dyDescent="0.35">
      <c r="A7" s="149" t="s">
        <v>133</v>
      </c>
      <c r="B7" s="149"/>
      <c r="C7" s="149"/>
    </row>
    <row r="8" spans="1:3" x14ac:dyDescent="0.35">
      <c r="A8" s="149" t="s">
        <v>134</v>
      </c>
      <c r="B8" s="149"/>
      <c r="C8" s="149"/>
    </row>
    <row r="9" spans="1:3" x14ac:dyDescent="0.35">
      <c r="A9" s="149" t="s">
        <v>135</v>
      </c>
      <c r="B9" s="149"/>
      <c r="C9" s="149"/>
    </row>
    <row r="10" spans="1:3" x14ac:dyDescent="0.35">
      <c r="A10" s="149" t="s">
        <v>136</v>
      </c>
      <c r="B10" s="149"/>
      <c r="C10" s="149"/>
    </row>
    <row r="11" spans="1:3" x14ac:dyDescent="0.35">
      <c r="A11" s="149" t="s">
        <v>137</v>
      </c>
      <c r="B11" s="149"/>
      <c r="C11" s="149"/>
    </row>
    <row r="12" spans="1:3" x14ac:dyDescent="0.35">
      <c r="A12" s="149" t="s">
        <v>138</v>
      </c>
      <c r="B12" s="149"/>
      <c r="C12" s="149"/>
    </row>
    <row r="13" spans="1:3" x14ac:dyDescent="0.35">
      <c r="A13" s="149" t="s">
        <v>139</v>
      </c>
      <c r="B13" s="149"/>
      <c r="C13" s="149"/>
    </row>
    <row r="14" spans="1:3" x14ac:dyDescent="0.35">
      <c r="A14" s="149" t="s">
        <v>140</v>
      </c>
      <c r="B14" s="149"/>
      <c r="C14" s="149"/>
    </row>
    <row r="15" spans="1:3" x14ac:dyDescent="0.35">
      <c r="A15" s="149" t="s">
        <v>141</v>
      </c>
      <c r="B15" s="149"/>
      <c r="C15" s="149"/>
    </row>
    <row r="16" spans="1:3" x14ac:dyDescent="0.35">
      <c r="A16" s="149" t="s">
        <v>142</v>
      </c>
      <c r="B16" s="149"/>
      <c r="C16" s="149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9867-A19F-48CC-8F46-4294BEE82C6B}">
  <sheetPr>
    <tabColor theme="6" tint="0.79998168889431442"/>
  </sheetPr>
  <dimension ref="A1:C16"/>
  <sheetViews>
    <sheetView workbookViewId="0">
      <selection activeCell="A2" sqref="A2"/>
    </sheetView>
  </sheetViews>
  <sheetFormatPr defaultRowHeight="14.5" x14ac:dyDescent="0.35"/>
  <cols>
    <col min="1" max="1" width="32.453125" customWidth="1"/>
    <col min="2" max="2" width="14.453125" customWidth="1"/>
    <col min="3" max="3" width="18" customWidth="1"/>
  </cols>
  <sheetData>
    <row r="1" spans="1:3" x14ac:dyDescent="0.35">
      <c r="A1" s="147" t="s">
        <v>160</v>
      </c>
    </row>
    <row r="3" spans="1:3" x14ac:dyDescent="0.35">
      <c r="A3" s="151" t="s">
        <v>128</v>
      </c>
      <c r="B3" s="150" t="s">
        <v>129</v>
      </c>
      <c r="C3" s="148" t="s">
        <v>149</v>
      </c>
    </row>
    <row r="4" spans="1:3" x14ac:dyDescent="0.35">
      <c r="A4" s="149" t="s">
        <v>130</v>
      </c>
      <c r="B4" s="149"/>
      <c r="C4" s="149"/>
    </row>
    <row r="5" spans="1:3" x14ac:dyDescent="0.35">
      <c r="A5" s="149" t="s">
        <v>131</v>
      </c>
      <c r="B5" s="149"/>
      <c r="C5" s="149"/>
    </row>
    <row r="6" spans="1:3" x14ac:dyDescent="0.35">
      <c r="A6" s="149" t="s">
        <v>132</v>
      </c>
      <c r="B6" s="149"/>
      <c r="C6" s="149"/>
    </row>
    <row r="7" spans="1:3" x14ac:dyDescent="0.35">
      <c r="A7" s="149" t="s">
        <v>133</v>
      </c>
      <c r="B7" s="149"/>
      <c r="C7" s="149"/>
    </row>
    <row r="8" spans="1:3" x14ac:dyDescent="0.35">
      <c r="A8" s="149" t="s">
        <v>134</v>
      </c>
      <c r="B8" s="149"/>
      <c r="C8" s="149"/>
    </row>
    <row r="9" spans="1:3" x14ac:dyDescent="0.35">
      <c r="A9" s="149" t="s">
        <v>135</v>
      </c>
      <c r="B9" s="149"/>
      <c r="C9" s="149"/>
    </row>
    <row r="10" spans="1:3" x14ac:dyDescent="0.35">
      <c r="A10" s="149" t="s">
        <v>136</v>
      </c>
      <c r="B10" s="149"/>
      <c r="C10" s="149"/>
    </row>
    <row r="11" spans="1:3" x14ac:dyDescent="0.35">
      <c r="A11" s="149" t="s">
        <v>137</v>
      </c>
      <c r="B11" s="149"/>
      <c r="C11" s="149"/>
    </row>
    <row r="12" spans="1:3" x14ac:dyDescent="0.35">
      <c r="A12" s="149" t="s">
        <v>138</v>
      </c>
      <c r="B12" s="149"/>
      <c r="C12" s="149"/>
    </row>
    <row r="13" spans="1:3" x14ac:dyDescent="0.35">
      <c r="A13" s="149" t="s">
        <v>139</v>
      </c>
      <c r="B13" s="149"/>
      <c r="C13" s="149"/>
    </row>
    <row r="14" spans="1:3" x14ac:dyDescent="0.35">
      <c r="A14" s="149" t="s">
        <v>140</v>
      </c>
      <c r="B14" s="149"/>
      <c r="C14" s="149"/>
    </row>
    <row r="15" spans="1:3" x14ac:dyDescent="0.35">
      <c r="A15" s="149" t="s">
        <v>141</v>
      </c>
      <c r="B15" s="149"/>
      <c r="C15" s="149"/>
    </row>
    <row r="16" spans="1:3" x14ac:dyDescent="0.35">
      <c r="A16" s="149" t="s">
        <v>142</v>
      </c>
      <c r="B16" s="149"/>
      <c r="C16" s="149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67FF-407C-4E95-92A9-7DBFEA382717}">
  <sheetPr>
    <tabColor theme="6" tint="0.79998168889431442"/>
  </sheetPr>
  <dimension ref="A1:B16"/>
  <sheetViews>
    <sheetView workbookViewId="0">
      <selection activeCell="B3" sqref="B3:B16"/>
    </sheetView>
  </sheetViews>
  <sheetFormatPr defaultRowHeight="14.5" x14ac:dyDescent="0.35"/>
  <cols>
    <col min="1" max="1" width="32.453125" customWidth="1"/>
    <col min="2" max="2" width="14.453125" customWidth="1"/>
  </cols>
  <sheetData>
    <row r="1" spans="1:2" x14ac:dyDescent="0.35">
      <c r="A1" s="147" t="s">
        <v>161</v>
      </c>
    </row>
    <row r="3" spans="1:2" ht="56.5" x14ac:dyDescent="0.35">
      <c r="A3" s="151" t="s">
        <v>128</v>
      </c>
      <c r="B3" s="150" t="s">
        <v>161</v>
      </c>
    </row>
    <row r="4" spans="1:2" x14ac:dyDescent="0.35">
      <c r="A4" s="149" t="s">
        <v>130</v>
      </c>
      <c r="B4" s="153">
        <f>ADN!J65</f>
        <v>0</v>
      </c>
    </row>
    <row r="5" spans="1:2" x14ac:dyDescent="0.35">
      <c r="A5" s="149" t="s">
        <v>131</v>
      </c>
      <c r="B5" s="153" t="str">
        <f>ADS!J65</f>
        <v>-</v>
      </c>
    </row>
    <row r="6" spans="1:2" x14ac:dyDescent="0.35">
      <c r="A6" s="149" t="s">
        <v>132</v>
      </c>
      <c r="B6" s="153">
        <f>BAY!J65</f>
        <v>0</v>
      </c>
    </row>
    <row r="7" spans="1:2" x14ac:dyDescent="0.35">
      <c r="A7" s="149" t="s">
        <v>133</v>
      </c>
      <c r="B7" s="153" t="str">
        <f>BIS!J65</f>
        <v>-</v>
      </c>
    </row>
    <row r="8" spans="1:2" x14ac:dyDescent="0.35">
      <c r="A8" s="149" t="s">
        <v>134</v>
      </c>
      <c r="B8" s="153">
        <f>BUT!J65</f>
        <v>6</v>
      </c>
    </row>
    <row r="9" spans="1:2" x14ac:dyDescent="0.35">
      <c r="A9" s="149" t="s">
        <v>135</v>
      </c>
      <c r="B9" s="153">
        <f>CBR!J65</f>
        <v>0</v>
      </c>
    </row>
    <row r="10" spans="1:2" x14ac:dyDescent="0.35">
      <c r="A10" s="149" t="s">
        <v>136</v>
      </c>
      <c r="B10" s="153" t="str">
        <f>DIN!J65</f>
        <v>-</v>
      </c>
    </row>
    <row r="11" spans="1:2" x14ac:dyDescent="0.35">
      <c r="A11" s="149" t="s">
        <v>137</v>
      </c>
      <c r="B11" s="153">
        <f>SIA!J65</f>
        <v>0</v>
      </c>
    </row>
    <row r="12" spans="1:2" x14ac:dyDescent="0.35">
      <c r="A12" s="149" t="s">
        <v>138</v>
      </c>
      <c r="B12" s="153">
        <f>SC!J65</f>
        <v>0</v>
      </c>
    </row>
    <row r="13" spans="1:2" x14ac:dyDescent="0.35">
      <c r="A13" s="149" t="s">
        <v>139</v>
      </c>
      <c r="B13" s="153" t="str">
        <f>SDN!J65</f>
        <v>-</v>
      </c>
    </row>
    <row r="14" spans="1:2" x14ac:dyDescent="0.35">
      <c r="A14" s="149" t="s">
        <v>140</v>
      </c>
      <c r="B14" s="153">
        <f>SDS!J65</f>
        <v>30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D750-02E2-4CF4-B4E7-823B21BEDA91}">
  <sheetPr>
    <tabColor theme="6" tint="0.79998168889431442"/>
  </sheetPr>
  <dimension ref="A1:B16"/>
  <sheetViews>
    <sheetView workbookViewId="0">
      <selection activeCell="B4" sqref="B4:B16"/>
    </sheetView>
  </sheetViews>
  <sheetFormatPr defaultRowHeight="14.5" x14ac:dyDescent="0.35"/>
  <cols>
    <col min="1" max="1" width="32.453125" customWidth="1"/>
    <col min="2" max="2" width="22" customWidth="1"/>
  </cols>
  <sheetData>
    <row r="1" spans="1:2" x14ac:dyDescent="0.35">
      <c r="A1" s="147" t="s">
        <v>162</v>
      </c>
    </row>
    <row r="3" spans="1:2" ht="42.5" x14ac:dyDescent="0.35">
      <c r="A3" s="151" t="s">
        <v>128</v>
      </c>
      <c r="B3" s="150" t="s">
        <v>162</v>
      </c>
    </row>
    <row r="4" spans="1:2" x14ac:dyDescent="0.35">
      <c r="A4" s="149" t="s">
        <v>130</v>
      </c>
      <c r="B4" s="153">
        <f>ADN!J66</f>
        <v>10</v>
      </c>
    </row>
    <row r="5" spans="1:2" x14ac:dyDescent="0.35">
      <c r="A5" s="149" t="s">
        <v>131</v>
      </c>
      <c r="B5" s="153">
        <f>ADS!J66</f>
        <v>23</v>
      </c>
    </row>
    <row r="6" spans="1:2" x14ac:dyDescent="0.35">
      <c r="A6" s="149" t="s">
        <v>132</v>
      </c>
      <c r="B6" s="153">
        <f>BAY!J66</f>
        <v>6</v>
      </c>
    </row>
    <row r="7" spans="1:2" x14ac:dyDescent="0.35">
      <c r="A7" s="149" t="s">
        <v>133</v>
      </c>
      <c r="B7" s="153" t="str">
        <f>BIS!J66</f>
        <v>-</v>
      </c>
    </row>
    <row r="8" spans="1:2" x14ac:dyDescent="0.35">
      <c r="A8" s="149" t="s">
        <v>134</v>
      </c>
      <c r="B8" s="153">
        <f>BUT!J66</f>
        <v>0</v>
      </c>
    </row>
    <row r="9" spans="1:2" x14ac:dyDescent="0.35">
      <c r="A9" s="149" t="s">
        <v>135</v>
      </c>
      <c r="B9" s="153">
        <f>CBR!J66</f>
        <v>10</v>
      </c>
    </row>
    <row r="10" spans="1:2" x14ac:dyDescent="0.35">
      <c r="A10" s="149" t="s">
        <v>136</v>
      </c>
      <c r="B10" s="153" t="str">
        <f>DIN!J66</f>
        <v>-</v>
      </c>
    </row>
    <row r="11" spans="1:2" x14ac:dyDescent="0.35">
      <c r="A11" s="149" t="s">
        <v>137</v>
      </c>
      <c r="B11" s="153">
        <f>SIA!J66</f>
        <v>18</v>
      </c>
    </row>
    <row r="12" spans="1:2" x14ac:dyDescent="0.35">
      <c r="A12" s="149" t="s">
        <v>138</v>
      </c>
      <c r="B12" s="153">
        <f>SC!J66</f>
        <v>4</v>
      </c>
    </row>
    <row r="13" spans="1:2" x14ac:dyDescent="0.35">
      <c r="A13" s="149" t="s">
        <v>139</v>
      </c>
      <c r="B13" s="153" t="str">
        <f>SDN!J66</f>
        <v>-</v>
      </c>
    </row>
    <row r="14" spans="1:2" x14ac:dyDescent="0.35">
      <c r="A14" s="149" t="s">
        <v>140</v>
      </c>
      <c r="B14" s="153">
        <f>SDS!J66</f>
        <v>0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9888-F05B-46A2-8AE7-8DCAAAEC595C}">
  <sheetPr>
    <tabColor theme="6" tint="0.79998168889431442"/>
  </sheetPr>
  <dimension ref="A1:B16"/>
  <sheetViews>
    <sheetView workbookViewId="0">
      <selection activeCell="B4" sqref="B4"/>
    </sheetView>
  </sheetViews>
  <sheetFormatPr defaultRowHeight="14.5" x14ac:dyDescent="0.35"/>
  <cols>
    <col min="1" max="1" width="32.453125" customWidth="1"/>
    <col min="2" max="2" width="22" customWidth="1"/>
  </cols>
  <sheetData>
    <row r="1" spans="1:2" x14ac:dyDescent="0.35">
      <c r="A1" s="147" t="s">
        <v>163</v>
      </c>
    </row>
    <row r="3" spans="1:2" x14ac:dyDescent="0.35">
      <c r="A3" s="151" t="s">
        <v>128</v>
      </c>
      <c r="B3" s="150" t="s">
        <v>164</v>
      </c>
    </row>
    <row r="4" spans="1:2" x14ac:dyDescent="0.35">
      <c r="A4" s="149" t="s">
        <v>130</v>
      </c>
      <c r="B4" s="149"/>
    </row>
    <row r="5" spans="1:2" x14ac:dyDescent="0.35">
      <c r="A5" s="149" t="s">
        <v>131</v>
      </c>
      <c r="B5" s="149"/>
    </row>
    <row r="6" spans="1:2" x14ac:dyDescent="0.35">
      <c r="A6" s="149" t="s">
        <v>132</v>
      </c>
      <c r="B6" s="149"/>
    </row>
    <row r="7" spans="1:2" x14ac:dyDescent="0.35">
      <c r="A7" s="149" t="s">
        <v>133</v>
      </c>
      <c r="B7" s="149"/>
    </row>
    <row r="8" spans="1:2" x14ac:dyDescent="0.35">
      <c r="A8" s="149" t="s">
        <v>134</v>
      </c>
      <c r="B8" s="149"/>
    </row>
    <row r="9" spans="1:2" x14ac:dyDescent="0.35">
      <c r="A9" s="149" t="s">
        <v>135</v>
      </c>
      <c r="B9" s="149"/>
    </row>
    <row r="10" spans="1:2" x14ac:dyDescent="0.35">
      <c r="A10" s="149" t="s">
        <v>136</v>
      </c>
      <c r="B10" s="149"/>
    </row>
    <row r="11" spans="1:2" x14ac:dyDescent="0.35">
      <c r="A11" s="149" t="s">
        <v>137</v>
      </c>
      <c r="B11" s="149"/>
    </row>
    <row r="12" spans="1:2" x14ac:dyDescent="0.35">
      <c r="A12" s="149" t="s">
        <v>138</v>
      </c>
      <c r="B12" s="149"/>
    </row>
    <row r="13" spans="1:2" x14ac:dyDescent="0.35">
      <c r="A13" s="149" t="s">
        <v>139</v>
      </c>
      <c r="B13" s="149"/>
    </row>
    <row r="14" spans="1:2" x14ac:dyDescent="0.35">
      <c r="A14" s="149" t="s">
        <v>140</v>
      </c>
      <c r="B14" s="149"/>
    </row>
    <row r="15" spans="1:2" x14ac:dyDescent="0.35">
      <c r="A15" s="149" t="s">
        <v>141</v>
      </c>
      <c r="B15" s="149"/>
    </row>
    <row r="16" spans="1:2" x14ac:dyDescent="0.35">
      <c r="A16" s="149" t="s">
        <v>142</v>
      </c>
      <c r="B16" s="149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3807-8BDA-4B94-BEDF-3F05D92297ED}">
  <sheetPr>
    <tabColor theme="6" tint="0.79998168889431442"/>
  </sheetPr>
  <dimension ref="A1:B16"/>
  <sheetViews>
    <sheetView workbookViewId="0">
      <selection activeCell="B15" sqref="B15"/>
    </sheetView>
  </sheetViews>
  <sheetFormatPr defaultRowHeight="14.5" x14ac:dyDescent="0.35"/>
  <cols>
    <col min="1" max="1" width="32.453125" customWidth="1"/>
    <col min="2" max="2" width="22" customWidth="1"/>
  </cols>
  <sheetData>
    <row r="1" spans="1:2" x14ac:dyDescent="0.35">
      <c r="A1" s="147" t="s">
        <v>165</v>
      </c>
    </row>
    <row r="3" spans="1:2" x14ac:dyDescent="0.35">
      <c r="A3" s="151" t="s">
        <v>128</v>
      </c>
      <c r="B3" s="150" t="s">
        <v>164</v>
      </c>
    </row>
    <row r="4" spans="1:2" x14ac:dyDescent="0.35">
      <c r="A4" s="149" t="s">
        <v>130</v>
      </c>
      <c r="B4" s="155" t="str">
        <f>ADN!J70</f>
        <v>-</v>
      </c>
    </row>
    <row r="5" spans="1:2" x14ac:dyDescent="0.35">
      <c r="A5" s="149" t="s">
        <v>131</v>
      </c>
      <c r="B5" s="155">
        <f>ADS!J70</f>
        <v>798</v>
      </c>
    </row>
    <row r="6" spans="1:2" x14ac:dyDescent="0.35">
      <c r="A6" s="149" t="s">
        <v>132</v>
      </c>
      <c r="B6" s="155" t="str">
        <f>BAY!J70</f>
        <v>-</v>
      </c>
    </row>
    <row r="7" spans="1:2" x14ac:dyDescent="0.35">
      <c r="A7" s="149" t="s">
        <v>133</v>
      </c>
      <c r="B7" s="155" t="str">
        <f>BIS!J70</f>
        <v>-</v>
      </c>
    </row>
    <row r="8" spans="1:2" x14ac:dyDescent="0.35">
      <c r="A8" s="149" t="s">
        <v>134</v>
      </c>
      <c r="B8" s="155" t="str">
        <f>BUT!J70</f>
        <v>-</v>
      </c>
    </row>
    <row r="9" spans="1:2" x14ac:dyDescent="0.35">
      <c r="A9" s="149" t="s">
        <v>135</v>
      </c>
      <c r="B9" s="155">
        <f>CBR!J70</f>
        <v>189</v>
      </c>
    </row>
    <row r="10" spans="1:2" x14ac:dyDescent="0.35">
      <c r="A10" s="149" t="s">
        <v>136</v>
      </c>
      <c r="B10" s="155" t="str">
        <f>DIN!J70</f>
        <v>-</v>
      </c>
    </row>
    <row r="11" spans="1:2" x14ac:dyDescent="0.35">
      <c r="A11" s="149" t="s">
        <v>137</v>
      </c>
      <c r="B11" s="155" t="str">
        <f>SIA!J70</f>
        <v>-</v>
      </c>
    </row>
    <row r="12" spans="1:2" x14ac:dyDescent="0.35">
      <c r="A12" s="149" t="s">
        <v>138</v>
      </c>
      <c r="B12" s="155">
        <f>SC!J70</f>
        <v>169</v>
      </c>
    </row>
    <row r="13" spans="1:2" x14ac:dyDescent="0.35">
      <c r="A13" s="149" t="s">
        <v>139</v>
      </c>
      <c r="B13" s="155" t="str">
        <f>SDN!J70</f>
        <v>-</v>
      </c>
    </row>
    <row r="14" spans="1:2" x14ac:dyDescent="0.35">
      <c r="A14" s="149" t="s">
        <v>140</v>
      </c>
      <c r="B14" s="155" t="str">
        <f>SDS!J70</f>
        <v>-</v>
      </c>
    </row>
    <row r="15" spans="1:2" x14ac:dyDescent="0.35">
      <c r="A15" s="149" t="s">
        <v>141</v>
      </c>
      <c r="B15" s="155" t="e">
        <f>#REF!</f>
        <v>#REF!</v>
      </c>
    </row>
    <row r="16" spans="1:2" x14ac:dyDescent="0.35">
      <c r="A16" s="149" t="s">
        <v>142</v>
      </c>
      <c r="B16" s="155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4E43-620E-4BDA-BD6A-5BC768603B41}">
  <sheetPr>
    <tabColor theme="6" tint="0.79998168889431442"/>
  </sheetPr>
  <dimension ref="A1:B16"/>
  <sheetViews>
    <sheetView workbookViewId="0">
      <selection activeCell="B4" sqref="B4:B16"/>
    </sheetView>
  </sheetViews>
  <sheetFormatPr defaultRowHeight="14.5" x14ac:dyDescent="0.35"/>
  <cols>
    <col min="1" max="1" width="32.453125" customWidth="1"/>
    <col min="2" max="2" width="22" customWidth="1"/>
  </cols>
  <sheetData>
    <row r="1" spans="1:2" x14ac:dyDescent="0.35">
      <c r="A1" s="147" t="s">
        <v>166</v>
      </c>
    </row>
    <row r="3" spans="1:2" x14ac:dyDescent="0.35">
      <c r="A3" s="151" t="s">
        <v>128</v>
      </c>
      <c r="B3" s="150" t="s">
        <v>164</v>
      </c>
    </row>
    <row r="4" spans="1:2" x14ac:dyDescent="0.35">
      <c r="A4" s="149" t="s">
        <v>130</v>
      </c>
      <c r="B4" s="155" t="str">
        <f>ADN!J71</f>
        <v>-</v>
      </c>
    </row>
    <row r="5" spans="1:2" x14ac:dyDescent="0.35">
      <c r="A5" s="149" t="s">
        <v>131</v>
      </c>
      <c r="B5" s="155">
        <f>ADS!J71</f>
        <v>71</v>
      </c>
    </row>
    <row r="6" spans="1:2" x14ac:dyDescent="0.35">
      <c r="A6" s="149" t="s">
        <v>132</v>
      </c>
      <c r="B6" s="155" t="str">
        <f>BAY!J71</f>
        <v>-</v>
      </c>
    </row>
    <row r="7" spans="1:2" x14ac:dyDescent="0.35">
      <c r="A7" s="149" t="s">
        <v>133</v>
      </c>
      <c r="B7" s="155" t="str">
        <f>BIS!J71</f>
        <v>-</v>
      </c>
    </row>
    <row r="8" spans="1:2" x14ac:dyDescent="0.35">
      <c r="A8" s="149" t="s">
        <v>134</v>
      </c>
      <c r="B8" s="155" t="str">
        <f>BUT!J71</f>
        <v>-</v>
      </c>
    </row>
    <row r="9" spans="1:2" x14ac:dyDescent="0.35">
      <c r="A9" s="149" t="s">
        <v>135</v>
      </c>
      <c r="B9" s="155" t="str">
        <f>CBR!J71</f>
        <v>-</v>
      </c>
    </row>
    <row r="10" spans="1:2" x14ac:dyDescent="0.35">
      <c r="A10" s="149" t="s">
        <v>136</v>
      </c>
      <c r="B10" s="155" t="str">
        <f>DIN!J71</f>
        <v>-</v>
      </c>
    </row>
    <row r="11" spans="1:2" x14ac:dyDescent="0.35">
      <c r="A11" s="149" t="s">
        <v>137</v>
      </c>
      <c r="B11" s="155" t="str">
        <f>SIA!J71</f>
        <v>-</v>
      </c>
    </row>
    <row r="12" spans="1:2" x14ac:dyDescent="0.35">
      <c r="A12" s="149" t="s">
        <v>138</v>
      </c>
      <c r="B12" s="155" t="str">
        <f>SC!J71</f>
        <v>-</v>
      </c>
    </row>
    <row r="13" spans="1:2" x14ac:dyDescent="0.35">
      <c r="A13" s="149" t="s">
        <v>139</v>
      </c>
      <c r="B13" s="155" t="str">
        <f>SDN!J71</f>
        <v>-</v>
      </c>
    </row>
    <row r="14" spans="1:2" x14ac:dyDescent="0.35">
      <c r="A14" s="149" t="s">
        <v>140</v>
      </c>
      <c r="B14" s="155" t="str">
        <f>SDS!J71</f>
        <v>-</v>
      </c>
    </row>
    <row r="15" spans="1:2" x14ac:dyDescent="0.35">
      <c r="A15" s="149" t="s">
        <v>141</v>
      </c>
      <c r="B15" s="155" t="e">
        <f>#REF!</f>
        <v>#REF!</v>
      </c>
    </row>
    <row r="16" spans="1:2" x14ac:dyDescent="0.35">
      <c r="A16" s="149" t="s">
        <v>142</v>
      </c>
      <c r="B16" s="155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B2E5-0746-4F29-B27A-A63E5D528DC2}">
  <sheetPr>
    <tabColor theme="6" tint="0.79998168889431442"/>
  </sheetPr>
  <dimension ref="A1:B16"/>
  <sheetViews>
    <sheetView workbookViewId="0">
      <selection activeCell="B4" sqref="B4:B16"/>
    </sheetView>
  </sheetViews>
  <sheetFormatPr defaultRowHeight="14.5" x14ac:dyDescent="0.35"/>
  <cols>
    <col min="1" max="1" width="32.453125" customWidth="1"/>
    <col min="2" max="2" width="22" customWidth="1"/>
  </cols>
  <sheetData>
    <row r="1" spans="1:2" x14ac:dyDescent="0.35">
      <c r="A1" s="147" t="s">
        <v>167</v>
      </c>
    </row>
    <row r="3" spans="1:2" x14ac:dyDescent="0.35">
      <c r="A3" s="151" t="s">
        <v>128</v>
      </c>
      <c r="B3" s="150" t="s">
        <v>164</v>
      </c>
    </row>
    <row r="4" spans="1:2" x14ac:dyDescent="0.35">
      <c r="A4" s="149" t="s">
        <v>130</v>
      </c>
      <c r="B4" s="155" t="str">
        <f>ADN!J72</f>
        <v>-</v>
      </c>
    </row>
    <row r="5" spans="1:2" x14ac:dyDescent="0.35">
      <c r="A5" s="149" t="s">
        <v>131</v>
      </c>
      <c r="B5" s="155">
        <f>ADS!J72</f>
        <v>35</v>
      </c>
    </row>
    <row r="6" spans="1:2" x14ac:dyDescent="0.35">
      <c r="A6" s="149" t="s">
        <v>132</v>
      </c>
      <c r="B6" s="155">
        <f>BAY!J72</f>
        <v>113</v>
      </c>
    </row>
    <row r="7" spans="1:2" x14ac:dyDescent="0.35">
      <c r="A7" s="149" t="s">
        <v>133</v>
      </c>
      <c r="B7" s="155" t="str">
        <f>BIS!J72</f>
        <v>-</v>
      </c>
    </row>
    <row r="8" spans="1:2" x14ac:dyDescent="0.35">
      <c r="A8" s="149" t="s">
        <v>134</v>
      </c>
      <c r="B8" s="155" t="str">
        <f>BUT!J72</f>
        <v>-</v>
      </c>
    </row>
    <row r="9" spans="1:2" x14ac:dyDescent="0.35">
      <c r="A9" s="149" t="s">
        <v>135</v>
      </c>
      <c r="B9" s="155">
        <f>CBR!J72</f>
        <v>89</v>
      </c>
    </row>
    <row r="10" spans="1:2" x14ac:dyDescent="0.35">
      <c r="A10" s="149" t="s">
        <v>136</v>
      </c>
      <c r="B10" s="155" t="str">
        <f>DIN!J72</f>
        <v>-</v>
      </c>
    </row>
    <row r="11" spans="1:2" x14ac:dyDescent="0.35">
      <c r="A11" s="149" t="s">
        <v>137</v>
      </c>
      <c r="B11" s="155" t="str">
        <f>SIA!J72</f>
        <v>-</v>
      </c>
    </row>
    <row r="12" spans="1:2" x14ac:dyDescent="0.35">
      <c r="A12" s="149" t="s">
        <v>138</v>
      </c>
      <c r="B12" s="155" t="str">
        <f>SC!J72</f>
        <v>-</v>
      </c>
    </row>
    <row r="13" spans="1:2" x14ac:dyDescent="0.35">
      <c r="A13" s="149" t="s">
        <v>139</v>
      </c>
      <c r="B13" s="155" t="str">
        <f>SDN!J72</f>
        <v>-</v>
      </c>
    </row>
    <row r="14" spans="1:2" x14ac:dyDescent="0.35">
      <c r="A14" s="149" t="s">
        <v>140</v>
      </c>
      <c r="B14" s="155" t="str">
        <f>SDS!J72</f>
        <v>-</v>
      </c>
    </row>
    <row r="15" spans="1:2" x14ac:dyDescent="0.35">
      <c r="A15" s="149" t="s">
        <v>141</v>
      </c>
      <c r="B15" s="155" t="e">
        <f>#REF!</f>
        <v>#REF!</v>
      </c>
    </row>
    <row r="16" spans="1:2" x14ac:dyDescent="0.35">
      <c r="A16" s="149" t="s">
        <v>142</v>
      </c>
      <c r="B16" s="155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AEED-4227-495B-8D7F-C2739A30CC96}">
  <sheetPr>
    <tabColor theme="6" tint="0.79998168889431442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22" customWidth="1"/>
  </cols>
  <sheetData>
    <row r="1" spans="1:2" x14ac:dyDescent="0.35">
      <c r="A1" s="147" t="s">
        <v>168</v>
      </c>
    </row>
    <row r="3" spans="1:2" ht="42.5" x14ac:dyDescent="0.35">
      <c r="A3" s="151" t="s">
        <v>128</v>
      </c>
      <c r="B3" s="150" t="s">
        <v>169</v>
      </c>
    </row>
    <row r="4" spans="1:2" x14ac:dyDescent="0.35">
      <c r="A4" s="149" t="s">
        <v>130</v>
      </c>
      <c r="B4" s="155" t="str">
        <f>ADN!J74</f>
        <v>-</v>
      </c>
    </row>
    <row r="5" spans="1:2" x14ac:dyDescent="0.35">
      <c r="A5" s="149" t="s">
        <v>131</v>
      </c>
      <c r="B5" s="155">
        <f>ADS!J74</f>
        <v>0</v>
      </c>
    </row>
    <row r="6" spans="1:2" x14ac:dyDescent="0.35">
      <c r="A6" s="149" t="s">
        <v>132</v>
      </c>
      <c r="B6" s="155">
        <f>BAY!J74</f>
        <v>0</v>
      </c>
    </row>
    <row r="7" spans="1:2" x14ac:dyDescent="0.35">
      <c r="A7" s="149" t="s">
        <v>133</v>
      </c>
      <c r="B7" s="155" t="str">
        <f>BIS!J74</f>
        <v>-</v>
      </c>
    </row>
    <row r="8" spans="1:2" x14ac:dyDescent="0.35">
      <c r="A8" s="149" t="s">
        <v>134</v>
      </c>
      <c r="B8" s="155">
        <f>BUT!J74</f>
        <v>0</v>
      </c>
    </row>
    <row r="9" spans="1:2" x14ac:dyDescent="0.35">
      <c r="A9" s="149" t="s">
        <v>135</v>
      </c>
      <c r="B9" s="155" t="str">
        <f>CBR!J74</f>
        <v>-</v>
      </c>
    </row>
    <row r="10" spans="1:2" x14ac:dyDescent="0.35">
      <c r="A10" s="149" t="s">
        <v>136</v>
      </c>
      <c r="B10" s="155" t="str">
        <f>DIN!J74</f>
        <v>-</v>
      </c>
    </row>
    <row r="11" spans="1:2" x14ac:dyDescent="0.35">
      <c r="A11" s="149" t="s">
        <v>137</v>
      </c>
      <c r="B11" s="155" t="str">
        <f>SIA!J74</f>
        <v>-</v>
      </c>
    </row>
    <row r="12" spans="1:2" x14ac:dyDescent="0.35">
      <c r="A12" s="149" t="s">
        <v>138</v>
      </c>
      <c r="B12" s="155" t="str">
        <f>SC!J74</f>
        <v>-</v>
      </c>
    </row>
    <row r="13" spans="1:2" x14ac:dyDescent="0.35">
      <c r="A13" s="149" t="s">
        <v>139</v>
      </c>
      <c r="B13" s="155" t="str">
        <f>SDN!J74</f>
        <v>-</v>
      </c>
    </row>
    <row r="14" spans="1:2" x14ac:dyDescent="0.35">
      <c r="A14" s="149" t="s">
        <v>140</v>
      </c>
      <c r="B14" s="155" t="str">
        <f>SDS!J74</f>
        <v>-</v>
      </c>
    </row>
    <row r="15" spans="1:2" x14ac:dyDescent="0.35">
      <c r="A15" s="149" t="s">
        <v>141</v>
      </c>
      <c r="B15" s="155" t="e">
        <f>#REF!</f>
        <v>#REF!</v>
      </c>
    </row>
    <row r="16" spans="1:2" x14ac:dyDescent="0.35">
      <c r="A16" s="149" t="s">
        <v>142</v>
      </c>
      <c r="B16" s="155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95C6-629B-4C88-A0F3-F8BF32BBAA7A}">
  <dimension ref="A1:P141"/>
  <sheetViews>
    <sheetView topLeftCell="A63" zoomScale="92" zoomScaleNormal="90" workbookViewId="0">
      <selection activeCell="J123" sqref="J123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116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ht="13.5" thickBot="1" x14ac:dyDescent="0.35">
      <c r="A15" s="272">
        <v>1</v>
      </c>
      <c r="B15" s="272"/>
      <c r="C15" s="272"/>
      <c r="D15" s="6">
        <v>2</v>
      </c>
      <c r="E15" s="6">
        <v>3</v>
      </c>
      <c r="F15" s="6">
        <v>4</v>
      </c>
      <c r="G15" s="6">
        <v>5</v>
      </c>
      <c r="H15" s="7">
        <v>6</v>
      </c>
      <c r="I15" s="6" t="s">
        <v>21</v>
      </c>
      <c r="J15" s="6">
        <v>8</v>
      </c>
      <c r="K15" s="6">
        <v>9</v>
      </c>
      <c r="L15" s="6">
        <v>10</v>
      </c>
      <c r="M15" s="6">
        <v>11</v>
      </c>
      <c r="N15" s="6" t="s">
        <v>22</v>
      </c>
      <c r="O15" s="6">
        <v>13</v>
      </c>
      <c r="P15" s="6">
        <v>14</v>
      </c>
    </row>
    <row r="16" spans="1:16" ht="40.25" customHeight="1" x14ac:dyDescent="0.3">
      <c r="A16" s="285" t="s">
        <v>36</v>
      </c>
      <c r="B16" s="286"/>
      <c r="C16" s="287"/>
      <c r="D16" s="8"/>
      <c r="E16" s="33"/>
      <c r="F16" s="33"/>
      <c r="G16" s="33"/>
      <c r="H16" s="28"/>
      <c r="I16" s="50"/>
      <c r="J16" s="8"/>
      <c r="K16" s="8"/>
      <c r="L16" s="8"/>
      <c r="M16" s="8"/>
      <c r="N16" s="8"/>
      <c r="O16" s="8"/>
      <c r="P16" s="8"/>
    </row>
    <row r="17" spans="1:16" ht="13.25" customHeight="1" x14ac:dyDescent="0.3">
      <c r="A17" s="275" t="s">
        <v>37</v>
      </c>
      <c r="B17" s="276"/>
      <c r="C17" s="277"/>
      <c r="D17" s="20">
        <v>310100000000000</v>
      </c>
      <c r="E17" s="34"/>
      <c r="F17" s="34"/>
      <c r="G17" s="34"/>
      <c r="H17" s="29"/>
      <c r="I17" s="51"/>
      <c r="J17" s="9"/>
      <c r="K17" s="9"/>
      <c r="L17" s="9"/>
      <c r="M17" s="9"/>
      <c r="N17" s="9"/>
      <c r="O17" s="9"/>
      <c r="P17" s="9"/>
    </row>
    <row r="18" spans="1:16" x14ac:dyDescent="0.3">
      <c r="A18" s="314" t="s">
        <v>38</v>
      </c>
      <c r="B18" s="315"/>
      <c r="C18" s="316"/>
      <c r="D18" s="11"/>
      <c r="E18" s="82"/>
      <c r="F18" s="82"/>
      <c r="G18" s="82"/>
      <c r="H18" s="83"/>
      <c r="I18" s="93"/>
      <c r="J18" s="87"/>
      <c r="K18" s="87"/>
      <c r="L18" s="87"/>
      <c r="M18" s="87"/>
      <c r="N18" s="87"/>
      <c r="O18" s="87"/>
      <c r="P18" s="87"/>
    </row>
    <row r="19" spans="1:16" s="25" customFormat="1" ht="30" customHeight="1" x14ac:dyDescent="0.35">
      <c r="A19" s="252" t="s">
        <v>43</v>
      </c>
      <c r="B19" s="253"/>
      <c r="C19" s="254"/>
      <c r="D19" s="24"/>
      <c r="E19" s="76"/>
      <c r="F19" s="76"/>
      <c r="G19" s="76"/>
      <c r="H19" s="77"/>
      <c r="I19" s="78" t="e">
        <f>AVERAGE(E19:H19)</f>
        <v>#DIV/0!</v>
      </c>
      <c r="J19" s="97"/>
      <c r="K19" s="97"/>
      <c r="L19" s="97"/>
      <c r="M19" s="97"/>
      <c r="N19" s="98" t="e">
        <f>AVERAGE(J19:M19)</f>
        <v>#DIV/0!</v>
      </c>
      <c r="O19" s="71" t="e">
        <f>N19-I19</f>
        <v>#DIV/0!</v>
      </c>
      <c r="P19" s="24"/>
    </row>
    <row r="20" spans="1:16" s="25" customFormat="1" ht="19.75" customHeight="1" x14ac:dyDescent="0.35">
      <c r="A20" s="21"/>
      <c r="B20" s="22"/>
      <c r="C20" s="23"/>
      <c r="D20" s="24"/>
      <c r="E20" s="12"/>
      <c r="F20" s="12"/>
      <c r="G20" s="12"/>
      <c r="H20" s="54"/>
      <c r="I20" s="53"/>
      <c r="J20" s="24"/>
      <c r="K20" s="24"/>
      <c r="L20" s="24"/>
      <c r="M20" s="24"/>
      <c r="N20" s="24"/>
      <c r="O20" s="71"/>
      <c r="P20" s="24"/>
    </row>
    <row r="21" spans="1:16" s="25" customFormat="1" ht="14" customHeight="1" x14ac:dyDescent="0.35">
      <c r="A21" s="252" t="s">
        <v>44</v>
      </c>
      <c r="B21" s="253"/>
      <c r="C21" s="254"/>
      <c r="D21" s="24"/>
      <c r="E21" s="76"/>
      <c r="F21" s="76"/>
      <c r="G21" s="76"/>
      <c r="H21" s="77"/>
      <c r="I21" s="79" t="e">
        <f>AVERAGE(E21:H21)</f>
        <v>#DIV/0!</v>
      </c>
      <c r="J21" s="24"/>
      <c r="K21" s="24"/>
      <c r="L21" s="24"/>
      <c r="M21" s="24"/>
      <c r="N21" s="12" t="e">
        <f>AVERAGE(J21:M21)</f>
        <v>#DIV/0!</v>
      </c>
      <c r="O21" s="71" t="e">
        <f t="shared" ref="O21:O83" si="0">N21-I21</f>
        <v>#DIV/0!</v>
      </c>
      <c r="P21" s="24"/>
    </row>
    <row r="22" spans="1:16" s="25" customFormat="1" ht="14" customHeight="1" x14ac:dyDescent="0.35">
      <c r="A22" s="21"/>
      <c r="B22" s="22"/>
      <c r="C22" s="23"/>
      <c r="D22" s="24"/>
      <c r="E22" s="12"/>
      <c r="F22" s="12"/>
      <c r="G22" s="12"/>
      <c r="H22" s="31"/>
      <c r="I22" s="52"/>
      <c r="J22" s="24"/>
      <c r="K22" s="24"/>
      <c r="L22" s="24"/>
      <c r="M22" s="24"/>
      <c r="N22" s="24"/>
      <c r="O22" s="71"/>
      <c r="P22" s="24"/>
    </row>
    <row r="23" spans="1:16" x14ac:dyDescent="0.3">
      <c r="A23" s="288" t="s">
        <v>39</v>
      </c>
      <c r="B23" s="289"/>
      <c r="C23" s="290"/>
      <c r="D23" s="11"/>
      <c r="E23" s="82"/>
      <c r="F23" s="82"/>
      <c r="G23" s="82"/>
      <c r="H23" s="83"/>
      <c r="I23" s="93"/>
      <c r="J23" s="87"/>
      <c r="K23" s="87"/>
      <c r="L23" s="87"/>
      <c r="M23" s="87"/>
      <c r="N23" s="87"/>
      <c r="O23" s="103"/>
      <c r="P23" s="87"/>
    </row>
    <row r="24" spans="1:16" x14ac:dyDescent="0.3">
      <c r="A24" s="291" t="s">
        <v>55</v>
      </c>
      <c r="B24" s="292"/>
      <c r="C24" s="293"/>
      <c r="D24" s="11"/>
      <c r="E24" s="76"/>
      <c r="F24" s="76"/>
      <c r="G24" s="76"/>
      <c r="H24" s="80"/>
      <c r="I24" s="81">
        <f>SUM(E24:H24)</f>
        <v>0</v>
      </c>
      <c r="J24" s="11"/>
      <c r="K24" s="11"/>
      <c r="L24" s="11"/>
      <c r="M24" s="11"/>
      <c r="N24" s="12">
        <f>SUM(J24:M24)</f>
        <v>0</v>
      </c>
      <c r="O24" s="12">
        <f t="shared" si="0"/>
        <v>0</v>
      </c>
      <c r="P24" s="11"/>
    </row>
    <row r="25" spans="1:16" x14ac:dyDescent="0.3">
      <c r="A25" s="291" t="s">
        <v>53</v>
      </c>
      <c r="B25" s="292"/>
      <c r="C25" s="293"/>
      <c r="D25" s="11"/>
      <c r="E25" s="12"/>
      <c r="F25" s="12"/>
      <c r="G25" s="12"/>
      <c r="H25" s="26"/>
      <c r="I25" s="55">
        <f>SUM(E25:H25)</f>
        <v>0</v>
      </c>
      <c r="J25" s="11"/>
      <c r="K25" s="11"/>
      <c r="L25" s="11"/>
      <c r="M25" s="11"/>
      <c r="N25" s="12">
        <f t="shared" ref="N25:N26" si="1">SUM(J25:M25)</f>
        <v>0</v>
      </c>
      <c r="O25" s="12">
        <f t="shared" si="0"/>
        <v>0</v>
      </c>
      <c r="P25" s="11"/>
    </row>
    <row r="26" spans="1:16" x14ac:dyDescent="0.3">
      <c r="A26" s="17"/>
      <c r="B26" s="18"/>
      <c r="C26" s="35" t="s">
        <v>45</v>
      </c>
      <c r="D26" s="11"/>
      <c r="E26" s="12"/>
      <c r="F26" s="12"/>
      <c r="G26" s="12"/>
      <c r="H26" s="26"/>
      <c r="I26" s="55">
        <f>SUM(E26:H26)</f>
        <v>0</v>
      </c>
      <c r="J26" s="11"/>
      <c r="K26" s="11"/>
      <c r="L26" s="11"/>
      <c r="M26" s="11"/>
      <c r="N26" s="12">
        <f t="shared" si="1"/>
        <v>0</v>
      </c>
      <c r="O26" s="12">
        <f t="shared" si="0"/>
        <v>0</v>
      </c>
      <c r="P26" s="11"/>
    </row>
    <row r="27" spans="1:16" x14ac:dyDescent="0.3">
      <c r="A27" s="291" t="s">
        <v>54</v>
      </c>
      <c r="B27" s="292"/>
      <c r="C27" s="293"/>
      <c r="D27" s="11"/>
      <c r="E27" s="76"/>
      <c r="F27" s="76"/>
      <c r="G27" s="76"/>
      <c r="H27" s="80"/>
      <c r="I27" s="81">
        <f>SUM(E27:H27)</f>
        <v>0</v>
      </c>
      <c r="J27" s="11"/>
      <c r="K27" s="11"/>
      <c r="L27" s="11"/>
      <c r="M27" s="11"/>
      <c r="N27" s="12">
        <f>SUM(J27:M27)</f>
        <v>0</v>
      </c>
      <c r="O27" s="12">
        <f t="shared" si="0"/>
        <v>0</v>
      </c>
      <c r="P27" s="11"/>
    </row>
    <row r="28" spans="1:16" x14ac:dyDescent="0.3">
      <c r="A28" s="214"/>
      <c r="B28" s="215"/>
      <c r="C28" s="216"/>
      <c r="D28" s="11"/>
      <c r="E28" s="12"/>
      <c r="F28" s="12"/>
      <c r="G28" s="12"/>
      <c r="H28" s="26"/>
      <c r="I28" s="13"/>
      <c r="J28" s="11"/>
      <c r="K28" s="11"/>
      <c r="L28" s="11"/>
      <c r="M28" s="11"/>
      <c r="N28" s="11"/>
      <c r="O28" s="104"/>
      <c r="P28" s="11"/>
    </row>
    <row r="29" spans="1:16" x14ac:dyDescent="0.3">
      <c r="A29" s="208" t="s">
        <v>47</v>
      </c>
      <c r="B29" s="209"/>
      <c r="C29" s="210"/>
      <c r="D29" s="20">
        <v>310200000000000</v>
      </c>
      <c r="E29" s="34"/>
      <c r="F29" s="34"/>
      <c r="G29" s="34"/>
      <c r="H29" s="29"/>
      <c r="I29" s="51"/>
      <c r="J29" s="9"/>
      <c r="K29" s="9"/>
      <c r="L29" s="9"/>
      <c r="M29" s="9"/>
      <c r="N29" s="9"/>
      <c r="O29" s="71"/>
      <c r="P29" s="9"/>
    </row>
    <row r="30" spans="1:16" x14ac:dyDescent="0.3">
      <c r="A30" s="224" t="s">
        <v>48</v>
      </c>
      <c r="B30" s="225"/>
      <c r="C30" s="226"/>
      <c r="D30" s="11"/>
      <c r="E30" s="82"/>
      <c r="F30" s="82"/>
      <c r="G30" s="82"/>
      <c r="H30" s="83"/>
      <c r="I30" s="93"/>
      <c r="J30" s="87"/>
      <c r="K30" s="87"/>
      <c r="L30" s="87"/>
      <c r="M30" s="87"/>
      <c r="N30" s="87"/>
      <c r="O30" s="103"/>
      <c r="P30" s="87"/>
    </row>
    <row r="31" spans="1:16" s="10" customFormat="1" ht="31.75" customHeight="1" x14ac:dyDescent="0.3">
      <c r="A31" s="252" t="s">
        <v>49</v>
      </c>
      <c r="B31" s="253"/>
      <c r="C31" s="254"/>
      <c r="D31" s="16"/>
      <c r="E31" s="82"/>
      <c r="F31" s="82"/>
      <c r="G31" s="82"/>
      <c r="H31" s="83"/>
      <c r="I31" s="86"/>
      <c r="J31" s="86"/>
      <c r="K31" s="86"/>
      <c r="L31" s="86"/>
      <c r="M31" s="86"/>
      <c r="N31" s="86"/>
      <c r="O31" s="103"/>
      <c r="P31" s="86"/>
    </row>
    <row r="32" spans="1:16" ht="15.5" customHeight="1" x14ac:dyDescent="0.3">
      <c r="A32" s="211" t="s">
        <v>25</v>
      </c>
      <c r="B32" s="212"/>
      <c r="C32" s="213"/>
      <c r="D32" s="11"/>
      <c r="E32" s="82"/>
      <c r="F32" s="36"/>
      <c r="G32" s="82"/>
      <c r="H32" s="83"/>
      <c r="I32" s="92">
        <f>F32</f>
        <v>0</v>
      </c>
      <c r="J32" s="82"/>
      <c r="K32" s="36"/>
      <c r="L32" s="82"/>
      <c r="M32" s="83"/>
      <c r="N32" s="92">
        <f>K32</f>
        <v>0</v>
      </c>
      <c r="O32" s="71">
        <f t="shared" si="0"/>
        <v>0</v>
      </c>
      <c r="P32" s="11"/>
    </row>
    <row r="33" spans="1:16" ht="15.5" customHeight="1" x14ac:dyDescent="0.3">
      <c r="A33" s="14"/>
      <c r="B33" s="3"/>
      <c r="C33" s="15" t="s">
        <v>108</v>
      </c>
      <c r="D33" s="11"/>
      <c r="E33" s="82"/>
      <c r="F33" s="12"/>
      <c r="G33" s="82"/>
      <c r="H33" s="83"/>
      <c r="I33" s="13">
        <f t="shared" ref="I33:I39" si="2">F33</f>
        <v>0</v>
      </c>
      <c r="J33" s="82"/>
      <c r="K33" s="12"/>
      <c r="L33" s="82"/>
      <c r="M33" s="83"/>
      <c r="N33" s="13">
        <f t="shared" ref="N33:N39" si="3">K33</f>
        <v>0</v>
      </c>
      <c r="O33" s="12">
        <f t="shared" si="0"/>
        <v>0</v>
      </c>
      <c r="P33" s="11"/>
    </row>
    <row r="34" spans="1:16" ht="15.5" customHeight="1" x14ac:dyDescent="0.3">
      <c r="A34" s="14"/>
      <c r="B34" s="3"/>
      <c r="C34" s="70" t="s">
        <v>107</v>
      </c>
      <c r="D34" s="11"/>
      <c r="E34" s="82"/>
      <c r="F34" s="36"/>
      <c r="G34" s="82"/>
      <c r="H34" s="83"/>
      <c r="I34" s="92">
        <f t="shared" si="2"/>
        <v>0</v>
      </c>
      <c r="J34" s="82"/>
      <c r="K34" s="36"/>
      <c r="L34" s="82"/>
      <c r="M34" s="83"/>
      <c r="N34" s="92">
        <f t="shared" si="3"/>
        <v>0</v>
      </c>
      <c r="O34" s="71">
        <f t="shared" si="0"/>
        <v>0</v>
      </c>
      <c r="P34" s="11"/>
    </row>
    <row r="35" spans="1:16" ht="15.5" customHeight="1" x14ac:dyDescent="0.3">
      <c r="A35" s="14"/>
      <c r="B35" s="3"/>
      <c r="C35" s="15" t="s">
        <v>108</v>
      </c>
      <c r="D35" s="11"/>
      <c r="E35" s="82"/>
      <c r="F35" s="12"/>
      <c r="G35" s="82"/>
      <c r="H35" s="83"/>
      <c r="I35" s="13">
        <f t="shared" si="2"/>
        <v>0</v>
      </c>
      <c r="J35" s="82"/>
      <c r="K35" s="36"/>
      <c r="L35" s="82"/>
      <c r="M35" s="83"/>
      <c r="N35" s="13">
        <f t="shared" si="3"/>
        <v>0</v>
      </c>
      <c r="O35" s="12">
        <f t="shared" si="0"/>
        <v>0</v>
      </c>
      <c r="P35" s="11"/>
    </row>
    <row r="36" spans="1:16" ht="15.5" customHeight="1" x14ac:dyDescent="0.3">
      <c r="A36" s="211" t="s">
        <v>26</v>
      </c>
      <c r="B36" s="212"/>
      <c r="C36" s="213"/>
      <c r="D36" s="11"/>
      <c r="E36" s="82"/>
      <c r="F36" s="36"/>
      <c r="G36" s="82"/>
      <c r="H36" s="83"/>
      <c r="I36" s="92">
        <f t="shared" si="2"/>
        <v>0</v>
      </c>
      <c r="J36" s="82"/>
      <c r="K36" s="36"/>
      <c r="L36" s="82"/>
      <c r="M36" s="83"/>
      <c r="N36" s="92">
        <f t="shared" si="3"/>
        <v>0</v>
      </c>
      <c r="O36" s="71">
        <f t="shared" si="0"/>
        <v>0</v>
      </c>
      <c r="P36" s="11"/>
    </row>
    <row r="37" spans="1:16" ht="15.5" customHeight="1" x14ac:dyDescent="0.3">
      <c r="A37" s="14"/>
      <c r="B37" s="3"/>
      <c r="C37" s="15" t="s">
        <v>108</v>
      </c>
      <c r="D37" s="11"/>
      <c r="E37" s="82"/>
      <c r="F37" s="12"/>
      <c r="G37" s="82"/>
      <c r="H37" s="83"/>
      <c r="I37" s="13">
        <f t="shared" si="2"/>
        <v>0</v>
      </c>
      <c r="J37" s="82"/>
      <c r="K37" s="12"/>
      <c r="L37" s="82"/>
      <c r="M37" s="83"/>
      <c r="N37" s="13">
        <f t="shared" si="3"/>
        <v>0</v>
      </c>
      <c r="O37" s="12">
        <f t="shared" si="0"/>
        <v>0</v>
      </c>
      <c r="P37" s="11"/>
    </row>
    <row r="38" spans="1:16" ht="15.5" customHeight="1" x14ac:dyDescent="0.3">
      <c r="A38" s="211" t="s">
        <v>27</v>
      </c>
      <c r="B38" s="212"/>
      <c r="C38" s="213"/>
      <c r="D38" s="11"/>
      <c r="E38" s="82"/>
      <c r="F38" s="36"/>
      <c r="G38" s="82"/>
      <c r="H38" s="83"/>
      <c r="I38" s="92">
        <f t="shared" si="2"/>
        <v>0</v>
      </c>
      <c r="J38" s="82"/>
      <c r="K38" s="36"/>
      <c r="L38" s="82"/>
      <c r="M38" s="83"/>
      <c r="N38" s="92">
        <f t="shared" si="3"/>
        <v>0</v>
      </c>
      <c r="O38" s="71">
        <f t="shared" si="0"/>
        <v>0</v>
      </c>
      <c r="P38" s="11"/>
    </row>
    <row r="39" spans="1:16" ht="15.5" customHeight="1" x14ac:dyDescent="0.3">
      <c r="A39" s="14"/>
      <c r="B39" s="3"/>
      <c r="C39" s="15" t="s">
        <v>108</v>
      </c>
      <c r="D39" s="11"/>
      <c r="E39" s="82"/>
      <c r="F39" s="12"/>
      <c r="G39" s="82"/>
      <c r="H39" s="83"/>
      <c r="I39" s="13">
        <f t="shared" si="2"/>
        <v>0</v>
      </c>
      <c r="J39" s="82"/>
      <c r="K39" s="12"/>
      <c r="L39" s="82"/>
      <c r="M39" s="83"/>
      <c r="N39" s="13">
        <f t="shared" si="3"/>
        <v>0</v>
      </c>
      <c r="O39" s="12">
        <f t="shared" si="0"/>
        <v>0</v>
      </c>
      <c r="P39" s="11"/>
    </row>
    <row r="40" spans="1:16" ht="15.5" customHeight="1" x14ac:dyDescent="0.3">
      <c r="A40" s="14"/>
      <c r="B40" s="3"/>
      <c r="C40" s="15"/>
      <c r="D40" s="11"/>
      <c r="E40" s="12"/>
      <c r="F40" s="12"/>
      <c r="G40" s="12"/>
      <c r="H40" s="26"/>
      <c r="I40" s="13"/>
      <c r="J40" s="12"/>
      <c r="K40" s="12"/>
      <c r="L40" s="12"/>
      <c r="M40" s="26"/>
      <c r="N40" s="13"/>
      <c r="O40" s="71"/>
      <c r="P40" s="11"/>
    </row>
    <row r="41" spans="1:16" ht="25.25" customHeight="1" x14ac:dyDescent="0.3">
      <c r="A41" s="243" t="s">
        <v>46</v>
      </c>
      <c r="B41" s="244"/>
      <c r="C41" s="245"/>
      <c r="D41" s="16"/>
      <c r="E41" s="82"/>
      <c r="F41" s="82"/>
      <c r="G41" s="82"/>
      <c r="H41" s="83"/>
      <c r="I41" s="86"/>
      <c r="J41" s="82"/>
      <c r="K41" s="82"/>
      <c r="L41" s="82"/>
      <c r="M41" s="83"/>
      <c r="N41" s="86"/>
      <c r="O41" s="103"/>
      <c r="P41" s="86"/>
    </row>
    <row r="42" spans="1:16" ht="15.5" customHeight="1" x14ac:dyDescent="0.3">
      <c r="A42" s="304" t="s">
        <v>102</v>
      </c>
      <c r="B42" s="305"/>
      <c r="C42" s="306"/>
      <c r="D42" s="11"/>
      <c r="E42" s="82"/>
      <c r="F42" s="36"/>
      <c r="G42" s="82"/>
      <c r="H42" s="83"/>
      <c r="I42" s="92">
        <f>F42</f>
        <v>0</v>
      </c>
      <c r="J42" s="82"/>
      <c r="K42" s="94"/>
      <c r="L42" s="82"/>
      <c r="M42" s="83"/>
      <c r="N42" s="96">
        <f>K42</f>
        <v>0</v>
      </c>
      <c r="O42" s="71">
        <f t="shared" si="0"/>
        <v>0</v>
      </c>
      <c r="P42" s="11"/>
    </row>
    <row r="43" spans="1:16" ht="15.5" customHeight="1" x14ac:dyDescent="0.3">
      <c r="A43" s="46"/>
      <c r="B43" s="47"/>
      <c r="C43" s="15" t="s">
        <v>108</v>
      </c>
      <c r="D43" s="11"/>
      <c r="E43" s="82"/>
      <c r="F43" s="12"/>
      <c r="G43" s="82"/>
      <c r="H43" s="83"/>
      <c r="I43" s="13">
        <f t="shared" ref="I43:I53" si="4">F43</f>
        <v>0</v>
      </c>
      <c r="J43" s="82"/>
      <c r="K43" s="95"/>
      <c r="L43" s="82"/>
      <c r="M43" s="83"/>
      <c r="N43" s="13">
        <f t="shared" ref="N43:N53" si="5">K43</f>
        <v>0</v>
      </c>
      <c r="O43" s="12">
        <f t="shared" si="0"/>
        <v>0</v>
      </c>
      <c r="P43" s="11"/>
    </row>
    <row r="44" spans="1:16" ht="15.5" customHeight="1" x14ac:dyDescent="0.3">
      <c r="A44" s="304" t="s">
        <v>103</v>
      </c>
      <c r="B44" s="305"/>
      <c r="C44" s="306"/>
      <c r="D44" s="11"/>
      <c r="E44" s="82"/>
      <c r="F44" s="36"/>
      <c r="G44" s="82"/>
      <c r="H44" s="83"/>
      <c r="I44" s="92">
        <f t="shared" si="4"/>
        <v>0</v>
      </c>
      <c r="J44" s="82"/>
      <c r="K44" s="94"/>
      <c r="L44" s="82"/>
      <c r="M44" s="83"/>
      <c r="N44" s="96">
        <f t="shared" si="5"/>
        <v>0</v>
      </c>
      <c r="O44" s="71">
        <f t="shared" si="0"/>
        <v>0</v>
      </c>
      <c r="P44" s="11"/>
    </row>
    <row r="45" spans="1:16" ht="15.5" customHeight="1" x14ac:dyDescent="0.3">
      <c r="A45" s="46"/>
      <c r="B45" s="47"/>
      <c r="C45" s="15" t="s">
        <v>108</v>
      </c>
      <c r="D45" s="11"/>
      <c r="E45" s="82"/>
      <c r="F45" s="12"/>
      <c r="G45" s="82"/>
      <c r="H45" s="83"/>
      <c r="I45" s="13">
        <f t="shared" si="4"/>
        <v>0</v>
      </c>
      <c r="J45" s="82"/>
      <c r="K45" s="95"/>
      <c r="L45" s="82"/>
      <c r="M45" s="83"/>
      <c r="N45" s="13">
        <f t="shared" si="5"/>
        <v>0</v>
      </c>
      <c r="O45" s="12">
        <f t="shared" si="0"/>
        <v>0</v>
      </c>
      <c r="P45" s="11"/>
    </row>
    <row r="46" spans="1:16" ht="15.5" customHeight="1" x14ac:dyDescent="0.3">
      <c r="A46" s="304" t="s">
        <v>104</v>
      </c>
      <c r="B46" s="305"/>
      <c r="C46" s="306"/>
      <c r="D46" s="11"/>
      <c r="E46" s="82"/>
      <c r="F46" s="94"/>
      <c r="G46" s="82"/>
      <c r="H46" s="83"/>
      <c r="I46" s="92">
        <f t="shared" si="4"/>
        <v>0</v>
      </c>
      <c r="J46" s="82"/>
      <c r="K46" s="94"/>
      <c r="L46" s="82"/>
      <c r="M46" s="83"/>
      <c r="N46" s="96">
        <f t="shared" si="5"/>
        <v>0</v>
      </c>
      <c r="O46" s="71">
        <f t="shared" si="0"/>
        <v>0</v>
      </c>
      <c r="P46" s="11"/>
    </row>
    <row r="47" spans="1:16" ht="15.5" customHeight="1" x14ac:dyDescent="0.3">
      <c r="A47" s="46"/>
      <c r="B47" s="47"/>
      <c r="C47" s="15" t="s">
        <v>108</v>
      </c>
      <c r="D47" s="11"/>
      <c r="E47" s="82"/>
      <c r="F47" s="12"/>
      <c r="G47" s="82"/>
      <c r="H47" s="83"/>
      <c r="I47" s="13">
        <f t="shared" si="4"/>
        <v>0</v>
      </c>
      <c r="J47" s="82"/>
      <c r="K47" s="95"/>
      <c r="L47" s="82"/>
      <c r="M47" s="83"/>
      <c r="N47" s="13">
        <f t="shared" si="5"/>
        <v>0</v>
      </c>
      <c r="O47" s="12">
        <f t="shared" si="0"/>
        <v>0</v>
      </c>
      <c r="P47" s="11"/>
    </row>
    <row r="48" spans="1:16" ht="15.5" customHeight="1" x14ac:dyDescent="0.3">
      <c r="A48" s="304" t="s">
        <v>105</v>
      </c>
      <c r="B48" s="305"/>
      <c r="C48" s="306"/>
      <c r="D48" s="11"/>
      <c r="E48" s="82"/>
      <c r="F48" s="36"/>
      <c r="G48" s="82"/>
      <c r="H48" s="83"/>
      <c r="I48" s="92">
        <f t="shared" si="4"/>
        <v>0</v>
      </c>
      <c r="J48" s="82"/>
      <c r="K48" s="94"/>
      <c r="L48" s="82"/>
      <c r="M48" s="83"/>
      <c r="N48" s="96">
        <f t="shared" si="5"/>
        <v>0</v>
      </c>
      <c r="O48" s="71">
        <f t="shared" si="0"/>
        <v>0</v>
      </c>
      <c r="P48" s="11"/>
    </row>
    <row r="49" spans="1:16" ht="15.5" customHeight="1" x14ac:dyDescent="0.3">
      <c r="A49" s="46"/>
      <c r="B49" s="47"/>
      <c r="C49" s="15" t="s">
        <v>108</v>
      </c>
      <c r="D49" s="11"/>
      <c r="E49" s="82"/>
      <c r="F49" s="12"/>
      <c r="G49" s="82"/>
      <c r="H49" s="83"/>
      <c r="I49" s="13">
        <f t="shared" si="4"/>
        <v>0</v>
      </c>
      <c r="J49" s="82"/>
      <c r="K49" s="95"/>
      <c r="L49" s="82"/>
      <c r="M49" s="83"/>
      <c r="N49" s="13">
        <f t="shared" si="5"/>
        <v>0</v>
      </c>
      <c r="O49" s="12">
        <f t="shared" si="0"/>
        <v>0</v>
      </c>
      <c r="P49" s="11"/>
    </row>
    <row r="50" spans="1:16" ht="15.5" customHeight="1" x14ac:dyDescent="0.3">
      <c r="A50" s="304" t="s">
        <v>106</v>
      </c>
      <c r="B50" s="305"/>
      <c r="C50" s="306"/>
      <c r="D50" s="11"/>
      <c r="E50" s="82"/>
      <c r="F50" s="36"/>
      <c r="G50" s="82"/>
      <c r="H50" s="83"/>
      <c r="I50" s="92">
        <f t="shared" si="4"/>
        <v>0</v>
      </c>
      <c r="J50" s="82"/>
      <c r="K50" s="94"/>
      <c r="L50" s="82"/>
      <c r="M50" s="83"/>
      <c r="N50" s="96">
        <f t="shared" si="5"/>
        <v>0</v>
      </c>
      <c r="O50" s="71">
        <f t="shared" si="0"/>
        <v>0</v>
      </c>
      <c r="P50" s="11"/>
    </row>
    <row r="51" spans="1:16" ht="15.5" customHeight="1" x14ac:dyDescent="0.3">
      <c r="A51" s="46"/>
      <c r="B51" s="47"/>
      <c r="C51" s="15" t="s">
        <v>108</v>
      </c>
      <c r="D51" s="11"/>
      <c r="E51" s="82"/>
      <c r="F51" s="12"/>
      <c r="G51" s="82"/>
      <c r="H51" s="83"/>
      <c r="I51" s="13">
        <f t="shared" si="4"/>
        <v>0</v>
      </c>
      <c r="J51" s="82"/>
      <c r="K51" s="95"/>
      <c r="L51" s="82"/>
      <c r="M51" s="83"/>
      <c r="N51" s="13">
        <f t="shared" si="5"/>
        <v>0</v>
      </c>
      <c r="O51" s="12">
        <f t="shared" si="0"/>
        <v>0</v>
      </c>
      <c r="P51" s="11"/>
    </row>
    <row r="52" spans="1:16" ht="15.5" customHeight="1" x14ac:dyDescent="0.3">
      <c r="A52" s="304" t="s">
        <v>111</v>
      </c>
      <c r="B52" s="305"/>
      <c r="C52" s="306"/>
      <c r="D52" s="11"/>
      <c r="E52" s="82"/>
      <c r="F52" s="94"/>
      <c r="G52" s="82"/>
      <c r="H52" s="83"/>
      <c r="I52" s="92">
        <f t="shared" si="4"/>
        <v>0</v>
      </c>
      <c r="J52" s="82"/>
      <c r="K52" s="94"/>
      <c r="L52" s="82"/>
      <c r="M52" s="83"/>
      <c r="N52" s="96">
        <f t="shared" si="5"/>
        <v>0</v>
      </c>
      <c r="O52" s="71">
        <f t="shared" si="0"/>
        <v>0</v>
      </c>
      <c r="P52" s="11"/>
    </row>
    <row r="53" spans="1:16" ht="15.5" customHeight="1" x14ac:dyDescent="0.3">
      <c r="A53" s="37"/>
      <c r="B53" s="38"/>
      <c r="C53" s="15" t="s">
        <v>108</v>
      </c>
      <c r="D53" s="11"/>
      <c r="E53" s="82"/>
      <c r="F53" s="12"/>
      <c r="G53" s="82"/>
      <c r="H53" s="83"/>
      <c r="I53" s="13">
        <f t="shared" si="4"/>
        <v>0</v>
      </c>
      <c r="J53" s="82"/>
      <c r="K53" s="95"/>
      <c r="L53" s="82"/>
      <c r="M53" s="83"/>
      <c r="N53" s="13">
        <f t="shared" si="5"/>
        <v>0</v>
      </c>
      <c r="O53" s="12">
        <f t="shared" si="0"/>
        <v>0</v>
      </c>
      <c r="P53" s="11"/>
    </row>
    <row r="54" spans="1:16" ht="15.5" customHeight="1" x14ac:dyDescent="0.3">
      <c r="A54" s="37"/>
      <c r="B54" s="38"/>
      <c r="C54" s="39"/>
      <c r="D54" s="11"/>
      <c r="E54" s="12"/>
      <c r="F54" s="12"/>
      <c r="G54" s="12"/>
      <c r="H54" s="26"/>
      <c r="I54" s="13"/>
      <c r="J54" s="12"/>
      <c r="K54" s="12"/>
      <c r="L54" s="12"/>
      <c r="M54" s="26"/>
      <c r="N54" s="13"/>
      <c r="O54" s="71"/>
      <c r="P54" s="11"/>
    </row>
    <row r="55" spans="1:16" ht="25.75" customHeight="1" x14ac:dyDescent="0.3">
      <c r="A55" s="243" t="s">
        <v>52</v>
      </c>
      <c r="B55" s="244"/>
      <c r="C55" s="245"/>
      <c r="D55" s="16"/>
      <c r="E55" s="82"/>
      <c r="F55" s="82"/>
      <c r="G55" s="82"/>
      <c r="H55" s="83"/>
      <c r="I55" s="86"/>
      <c r="J55" s="82"/>
      <c r="K55" s="82"/>
      <c r="L55" s="82"/>
      <c r="M55" s="83"/>
      <c r="N55" s="86"/>
      <c r="O55" s="103"/>
      <c r="P55" s="86"/>
    </row>
    <row r="56" spans="1:16" ht="15.5" customHeight="1" x14ac:dyDescent="0.3">
      <c r="A56" s="246" t="s">
        <v>56</v>
      </c>
      <c r="B56" s="247"/>
      <c r="C56" s="248"/>
      <c r="D56" s="11"/>
      <c r="E56" s="82"/>
      <c r="F56" s="82"/>
      <c r="G56" s="82"/>
      <c r="H56" s="31"/>
      <c r="I56" s="92">
        <f>H56</f>
        <v>0</v>
      </c>
      <c r="J56" s="82"/>
      <c r="K56" s="82"/>
      <c r="L56" s="82"/>
      <c r="M56" s="31"/>
      <c r="N56" s="92">
        <f>M56</f>
        <v>0</v>
      </c>
      <c r="O56" s="71">
        <f t="shared" si="0"/>
        <v>0</v>
      </c>
      <c r="P56" s="11"/>
    </row>
    <row r="57" spans="1:16" ht="15.5" customHeight="1" x14ac:dyDescent="0.3">
      <c r="A57" s="40"/>
      <c r="B57" s="41"/>
      <c r="C57" s="15" t="s">
        <v>108</v>
      </c>
      <c r="D57" s="11"/>
      <c r="E57" s="82"/>
      <c r="F57" s="82"/>
      <c r="G57" s="82"/>
      <c r="H57" s="26"/>
      <c r="I57" s="13">
        <f t="shared" ref="I57:I61" si="6">H57</f>
        <v>0</v>
      </c>
      <c r="J57" s="82"/>
      <c r="K57" s="82"/>
      <c r="L57" s="82"/>
      <c r="M57" s="26"/>
      <c r="N57" s="13">
        <f t="shared" ref="N57:N61" si="7">M57</f>
        <v>0</v>
      </c>
      <c r="O57" s="12">
        <f t="shared" si="0"/>
        <v>0</v>
      </c>
      <c r="P57" s="11"/>
    </row>
    <row r="58" spans="1:16" ht="15.5" customHeight="1" x14ac:dyDescent="0.3">
      <c r="A58" s="246" t="s">
        <v>57</v>
      </c>
      <c r="B58" s="247"/>
      <c r="C58" s="248"/>
      <c r="D58" s="11"/>
      <c r="E58" s="82"/>
      <c r="F58" s="82"/>
      <c r="G58" s="82"/>
      <c r="H58" s="31"/>
      <c r="I58" s="92">
        <f t="shared" si="6"/>
        <v>0</v>
      </c>
      <c r="J58" s="82"/>
      <c r="K58" s="82"/>
      <c r="L58" s="82"/>
      <c r="M58" s="31"/>
      <c r="N58" s="92">
        <f t="shared" si="7"/>
        <v>0</v>
      </c>
      <c r="O58" s="71">
        <f t="shared" si="0"/>
        <v>0</v>
      </c>
      <c r="P58" s="11"/>
    </row>
    <row r="59" spans="1:16" ht="15.5" customHeight="1" x14ac:dyDescent="0.3">
      <c r="A59" s="40"/>
      <c r="B59" s="41"/>
      <c r="C59" s="15" t="s">
        <v>108</v>
      </c>
      <c r="D59" s="11"/>
      <c r="E59" s="82"/>
      <c r="F59" s="82"/>
      <c r="G59" s="82"/>
      <c r="H59" s="26"/>
      <c r="I59" s="13">
        <f t="shared" si="6"/>
        <v>0</v>
      </c>
      <c r="J59" s="82"/>
      <c r="K59" s="82"/>
      <c r="L59" s="82"/>
      <c r="M59" s="26"/>
      <c r="N59" s="13">
        <f t="shared" si="7"/>
        <v>0</v>
      </c>
      <c r="O59" s="12">
        <f t="shared" si="0"/>
        <v>0</v>
      </c>
      <c r="P59" s="11"/>
    </row>
    <row r="60" spans="1:16" ht="15.5" customHeight="1" x14ac:dyDescent="0.3">
      <c r="A60" s="246" t="s">
        <v>58</v>
      </c>
      <c r="B60" s="247"/>
      <c r="C60" s="248"/>
      <c r="D60" s="11"/>
      <c r="E60" s="82"/>
      <c r="F60" s="82"/>
      <c r="G60" s="82"/>
      <c r="H60" s="31"/>
      <c r="I60" s="92">
        <f t="shared" si="6"/>
        <v>0</v>
      </c>
      <c r="J60" s="82"/>
      <c r="K60" s="82"/>
      <c r="L60" s="82"/>
      <c r="M60" s="31"/>
      <c r="N60" s="92">
        <f t="shared" si="7"/>
        <v>0</v>
      </c>
      <c r="O60" s="71">
        <f t="shared" si="0"/>
        <v>0</v>
      </c>
      <c r="P60" s="11"/>
    </row>
    <row r="61" spans="1:16" ht="15.5" customHeight="1" x14ac:dyDescent="0.3">
      <c r="A61" s="40"/>
      <c r="B61" s="41"/>
      <c r="C61" s="15" t="s">
        <v>108</v>
      </c>
      <c r="D61" s="11"/>
      <c r="E61" s="82"/>
      <c r="F61" s="82"/>
      <c r="G61" s="82"/>
      <c r="H61" s="26"/>
      <c r="I61" s="13">
        <f t="shared" si="6"/>
        <v>0</v>
      </c>
      <c r="J61" s="82"/>
      <c r="K61" s="82"/>
      <c r="L61" s="82"/>
      <c r="M61" s="26"/>
      <c r="N61" s="13">
        <f t="shared" si="7"/>
        <v>0</v>
      </c>
      <c r="O61" s="12">
        <f t="shared" si="0"/>
        <v>0</v>
      </c>
      <c r="P61" s="11"/>
    </row>
    <row r="62" spans="1:16" ht="15.5" customHeight="1" x14ac:dyDescent="0.3">
      <c r="A62" s="214"/>
      <c r="B62" s="215"/>
      <c r="C62" s="216"/>
      <c r="D62" s="11"/>
      <c r="E62" s="12"/>
      <c r="F62" s="12"/>
      <c r="G62" s="12"/>
      <c r="H62" s="26"/>
      <c r="I62" s="13"/>
      <c r="J62" s="12"/>
      <c r="K62" s="12"/>
      <c r="L62" s="12"/>
      <c r="M62" s="26"/>
      <c r="N62" s="13"/>
      <c r="O62" s="71"/>
      <c r="P62" s="11"/>
    </row>
    <row r="63" spans="1:16" x14ac:dyDescent="0.3">
      <c r="A63" s="224" t="s">
        <v>59</v>
      </c>
      <c r="B63" s="225"/>
      <c r="C63" s="226"/>
      <c r="D63" s="11"/>
      <c r="E63" s="82"/>
      <c r="F63" s="82"/>
      <c r="G63" s="82"/>
      <c r="H63" s="83"/>
      <c r="I63" s="93"/>
      <c r="J63" s="82"/>
      <c r="K63" s="82"/>
      <c r="L63" s="82"/>
      <c r="M63" s="83"/>
      <c r="N63" s="93"/>
      <c r="O63" s="103"/>
      <c r="P63" s="87"/>
    </row>
    <row r="64" spans="1:16" x14ac:dyDescent="0.3">
      <c r="A64" s="295" t="s">
        <v>67</v>
      </c>
      <c r="B64" s="296"/>
      <c r="C64" s="297"/>
      <c r="D64" s="11"/>
      <c r="E64" s="82"/>
      <c r="F64" s="82"/>
      <c r="G64" s="82"/>
      <c r="H64" s="83"/>
      <c r="I64" s="93"/>
      <c r="J64" s="82"/>
      <c r="K64" s="82"/>
      <c r="L64" s="82"/>
      <c r="M64" s="83"/>
      <c r="N64" s="93"/>
      <c r="O64" s="103"/>
      <c r="P64" s="87"/>
    </row>
    <row r="65" spans="1:16" ht="15.5" customHeight="1" x14ac:dyDescent="0.3">
      <c r="A65" s="308" t="s">
        <v>68</v>
      </c>
      <c r="B65" s="309"/>
      <c r="C65" s="310"/>
      <c r="D65" s="11"/>
      <c r="E65" s="82"/>
      <c r="F65" s="82"/>
      <c r="G65" s="12"/>
      <c r="H65" s="26"/>
      <c r="I65" s="13">
        <f>SUM(G65:H65)</f>
        <v>0</v>
      </c>
      <c r="J65" s="82"/>
      <c r="K65" s="82"/>
      <c r="L65" s="12"/>
      <c r="M65" s="26"/>
      <c r="N65" s="13">
        <f>SUM(L65:M65)</f>
        <v>0</v>
      </c>
      <c r="O65" s="12">
        <f t="shared" si="0"/>
        <v>0</v>
      </c>
      <c r="P65" s="11"/>
    </row>
    <row r="66" spans="1:16" ht="15.5" customHeight="1" x14ac:dyDescent="0.3">
      <c r="A66" s="308" t="s">
        <v>69</v>
      </c>
      <c r="B66" s="309"/>
      <c r="C66" s="310"/>
      <c r="D66" s="11"/>
      <c r="E66" s="85"/>
      <c r="F66" s="85"/>
      <c r="G66" s="56"/>
      <c r="H66" s="60"/>
      <c r="I66" s="13">
        <f>SUM(G66:H66)</f>
        <v>0</v>
      </c>
      <c r="J66" s="85"/>
      <c r="K66" s="85"/>
      <c r="L66" s="56"/>
      <c r="M66" s="60"/>
      <c r="N66" s="13">
        <f>SUM(L66:M66)</f>
        <v>0</v>
      </c>
      <c r="O66" s="12">
        <f t="shared" si="0"/>
        <v>0</v>
      </c>
      <c r="P66" s="11"/>
    </row>
    <row r="67" spans="1:16" ht="27.65" customHeight="1" x14ac:dyDescent="0.3">
      <c r="A67" s="311" t="s">
        <v>66</v>
      </c>
      <c r="B67" s="312"/>
      <c r="C67" s="313"/>
      <c r="D67" s="16"/>
      <c r="E67" s="12"/>
      <c r="F67" s="61"/>
      <c r="G67" s="61"/>
      <c r="H67" s="63"/>
      <c r="I67" s="61">
        <f>SUM(E67:H67)</f>
        <v>0</v>
      </c>
      <c r="J67" s="12"/>
      <c r="K67" s="61"/>
      <c r="L67" s="61"/>
      <c r="M67" s="63"/>
      <c r="N67" s="61">
        <f>SUM(J67:M67)</f>
        <v>0</v>
      </c>
      <c r="O67" s="12">
        <f t="shared" si="0"/>
        <v>0</v>
      </c>
      <c r="P67" s="16"/>
    </row>
    <row r="68" spans="1:16" ht="15.5" customHeight="1" x14ac:dyDescent="0.3">
      <c r="A68" s="43"/>
      <c r="B68" s="44"/>
      <c r="C68" s="45"/>
      <c r="D68" s="16"/>
      <c r="E68" s="12"/>
      <c r="F68" s="12"/>
      <c r="G68" s="12"/>
      <c r="H68" s="26"/>
      <c r="I68" s="13"/>
      <c r="J68" s="12"/>
      <c r="K68" s="12"/>
      <c r="L68" s="12"/>
      <c r="M68" s="26"/>
      <c r="N68" s="13"/>
      <c r="O68" s="71"/>
      <c r="P68" s="16"/>
    </row>
    <row r="69" spans="1:16" x14ac:dyDescent="0.3">
      <c r="A69" s="295" t="s">
        <v>70</v>
      </c>
      <c r="B69" s="296"/>
      <c r="C69" s="297"/>
      <c r="D69" s="11"/>
      <c r="E69" s="82"/>
      <c r="F69" s="82"/>
      <c r="G69" s="82"/>
      <c r="H69" s="83"/>
      <c r="I69" s="93"/>
      <c r="J69" s="82"/>
      <c r="K69" s="82"/>
      <c r="L69" s="82"/>
      <c r="M69" s="83"/>
      <c r="N69" s="93"/>
      <c r="O69" s="103"/>
      <c r="P69" s="87"/>
    </row>
    <row r="70" spans="1:16" ht="15.5" customHeight="1" x14ac:dyDescent="0.3">
      <c r="A70" s="308" t="s">
        <v>74</v>
      </c>
      <c r="B70" s="309"/>
      <c r="C70" s="310"/>
      <c r="D70" s="11"/>
      <c r="E70" s="61"/>
      <c r="F70" s="61"/>
      <c r="G70" s="61"/>
      <c r="H70" s="61"/>
      <c r="I70" s="62">
        <f>SUM(E70:H70)</f>
        <v>0</v>
      </c>
      <c r="J70" s="61"/>
      <c r="K70" s="61"/>
      <c r="L70" s="61"/>
      <c r="M70" s="61"/>
      <c r="N70" s="62">
        <f>SUM(J70:M70)</f>
        <v>0</v>
      </c>
      <c r="O70" s="12">
        <f t="shared" si="0"/>
        <v>0</v>
      </c>
      <c r="P70" s="11"/>
    </row>
    <row r="71" spans="1:16" ht="15.5" customHeight="1" x14ac:dyDescent="0.3">
      <c r="A71" s="308" t="s">
        <v>71</v>
      </c>
      <c r="B71" s="309"/>
      <c r="C71" s="310"/>
      <c r="D71" s="11"/>
      <c r="E71" s="61"/>
      <c r="F71" s="61"/>
      <c r="G71" s="61"/>
      <c r="H71" s="63"/>
      <c r="I71" s="62">
        <f t="shared" ref="I71:I72" si="8">SUM(E71:H71)</f>
        <v>0</v>
      </c>
      <c r="J71" s="61"/>
      <c r="K71" s="61"/>
      <c r="L71" s="61"/>
      <c r="M71" s="63"/>
      <c r="N71" s="62">
        <f t="shared" ref="N71:N72" si="9">SUM(J71:M71)</f>
        <v>0</v>
      </c>
      <c r="O71" s="12">
        <f t="shared" si="0"/>
        <v>0</v>
      </c>
      <c r="P71" s="11"/>
    </row>
    <row r="72" spans="1:16" ht="15.5" customHeight="1" x14ac:dyDescent="0.3">
      <c r="A72" s="308" t="s">
        <v>72</v>
      </c>
      <c r="B72" s="309"/>
      <c r="C72" s="310"/>
      <c r="D72" s="11"/>
      <c r="E72" s="12"/>
      <c r="F72" s="12"/>
      <c r="G72" s="12"/>
      <c r="H72" s="26"/>
      <c r="I72" s="62">
        <f t="shared" si="8"/>
        <v>0</v>
      </c>
      <c r="J72" s="12"/>
      <c r="K72" s="12"/>
      <c r="L72" s="12"/>
      <c r="M72" s="26"/>
      <c r="N72" s="62">
        <f t="shared" si="9"/>
        <v>0</v>
      </c>
      <c r="O72" s="12">
        <f t="shared" si="0"/>
        <v>0</v>
      </c>
      <c r="P72" s="11"/>
    </row>
    <row r="73" spans="1:16" ht="15.5" customHeight="1" x14ac:dyDescent="0.3">
      <c r="A73" s="214"/>
      <c r="B73" s="215"/>
      <c r="C73" s="216"/>
      <c r="D73" s="11"/>
      <c r="E73" s="12"/>
      <c r="F73" s="12"/>
      <c r="G73" s="12"/>
      <c r="H73" s="26"/>
      <c r="I73" s="62"/>
      <c r="J73" s="12"/>
      <c r="K73" s="12"/>
      <c r="L73" s="12"/>
      <c r="M73" s="26"/>
      <c r="N73" s="62"/>
      <c r="O73" s="12"/>
      <c r="P73" s="11"/>
    </row>
    <row r="74" spans="1:16" x14ac:dyDescent="0.3">
      <c r="A74" s="295" t="s">
        <v>73</v>
      </c>
      <c r="B74" s="296"/>
      <c r="C74" s="297"/>
      <c r="D74" s="11"/>
      <c r="E74" s="12"/>
      <c r="F74" s="12"/>
      <c r="G74" s="12"/>
      <c r="H74" s="26"/>
      <c r="I74" s="62">
        <f>SUM(E74:H74)</f>
        <v>0</v>
      </c>
      <c r="J74" s="12"/>
      <c r="K74" s="12"/>
      <c r="L74" s="12"/>
      <c r="M74" s="26"/>
      <c r="N74" s="62">
        <f>SUM(J74:M74)</f>
        <v>0</v>
      </c>
      <c r="O74" s="12">
        <f t="shared" si="0"/>
        <v>0</v>
      </c>
      <c r="P74" s="11"/>
    </row>
    <row r="75" spans="1:16" ht="15.5" customHeight="1" x14ac:dyDescent="0.3">
      <c r="A75" s="214"/>
      <c r="B75" s="215"/>
      <c r="C75" s="216"/>
      <c r="D75" s="11"/>
      <c r="E75" s="12"/>
      <c r="F75" s="12"/>
      <c r="G75" s="12"/>
      <c r="H75" s="26"/>
      <c r="I75" s="13"/>
      <c r="J75" s="12"/>
      <c r="K75" s="12"/>
      <c r="L75" s="12"/>
      <c r="M75" s="26"/>
      <c r="N75" s="13"/>
      <c r="O75" s="104"/>
      <c r="P75" s="11"/>
    </row>
    <row r="76" spans="1:16" x14ac:dyDescent="0.3">
      <c r="A76" s="208" t="s">
        <v>42</v>
      </c>
      <c r="B76" s="209"/>
      <c r="C76" s="210"/>
      <c r="D76" s="19">
        <v>310300000000000</v>
      </c>
      <c r="E76" s="34"/>
      <c r="F76" s="34"/>
      <c r="G76" s="34"/>
      <c r="H76" s="29"/>
      <c r="I76" s="51"/>
      <c r="J76" s="34"/>
      <c r="K76" s="34"/>
      <c r="L76" s="34"/>
      <c r="M76" s="29"/>
      <c r="N76" s="51"/>
      <c r="O76" s="71"/>
      <c r="P76" s="9"/>
    </row>
    <row r="77" spans="1:16" x14ac:dyDescent="0.3">
      <c r="A77" s="211" t="s">
        <v>23</v>
      </c>
      <c r="B77" s="212"/>
      <c r="C77" s="213"/>
      <c r="D77" s="11"/>
      <c r="E77" s="82"/>
      <c r="F77" s="82"/>
      <c r="G77" s="82"/>
      <c r="H77" s="83"/>
      <c r="I77" s="93"/>
      <c r="J77" s="82"/>
      <c r="K77" s="82"/>
      <c r="L77" s="82"/>
      <c r="M77" s="83"/>
      <c r="N77" s="93"/>
      <c r="O77" s="103"/>
      <c r="P77" s="87"/>
    </row>
    <row r="78" spans="1:16" ht="12.65" customHeight="1" x14ac:dyDescent="0.3">
      <c r="A78" s="243" t="s">
        <v>77</v>
      </c>
      <c r="B78" s="244"/>
      <c r="C78" s="245"/>
      <c r="D78" s="16"/>
      <c r="E78" s="82"/>
      <c r="F78" s="82"/>
      <c r="G78" s="82"/>
      <c r="H78" s="83"/>
      <c r="I78" s="86"/>
      <c r="J78" s="82"/>
      <c r="K78" s="82"/>
      <c r="L78" s="82"/>
      <c r="M78" s="83"/>
      <c r="N78" s="86"/>
      <c r="O78" s="103"/>
      <c r="P78" s="86"/>
    </row>
    <row r="79" spans="1:16" ht="15" customHeight="1" x14ac:dyDescent="0.3">
      <c r="A79" s="246" t="s">
        <v>78</v>
      </c>
      <c r="B79" s="247"/>
      <c r="C79" s="248"/>
      <c r="D79" s="11"/>
      <c r="E79" s="82"/>
      <c r="F79" s="82"/>
      <c r="G79" s="82"/>
      <c r="H79" s="65"/>
      <c r="I79" s="66">
        <f>H79</f>
        <v>0</v>
      </c>
      <c r="J79" s="82"/>
      <c r="K79" s="82"/>
      <c r="L79" s="82"/>
      <c r="M79" s="65"/>
      <c r="N79" s="66">
        <f>M79</f>
        <v>0</v>
      </c>
      <c r="O79" s="71">
        <f t="shared" si="0"/>
        <v>0</v>
      </c>
      <c r="P79" s="11"/>
    </row>
    <row r="80" spans="1:16" ht="15" customHeight="1" x14ac:dyDescent="0.3">
      <c r="A80" s="40"/>
      <c r="B80" s="41"/>
      <c r="C80" s="15" t="s">
        <v>108</v>
      </c>
      <c r="D80" s="11"/>
      <c r="E80" s="82"/>
      <c r="F80" s="82"/>
      <c r="G80" s="82"/>
      <c r="H80" s="63"/>
      <c r="I80" s="99">
        <f t="shared" ref="I80:I86" si="10">H80</f>
        <v>0</v>
      </c>
      <c r="J80" s="82"/>
      <c r="K80" s="82"/>
      <c r="L80" s="82"/>
      <c r="M80" s="63"/>
      <c r="N80" s="99">
        <f t="shared" ref="N80:N86" si="11">M80</f>
        <v>0</v>
      </c>
      <c r="O80" s="12">
        <f t="shared" si="0"/>
        <v>0</v>
      </c>
      <c r="P80" s="11"/>
    </row>
    <row r="81" spans="1:16" ht="30" customHeight="1" x14ac:dyDescent="0.3">
      <c r="A81" s="258" t="s">
        <v>76</v>
      </c>
      <c r="B81" s="259"/>
      <c r="C81" s="260"/>
      <c r="D81" s="11"/>
      <c r="E81" s="82"/>
      <c r="F81" s="82"/>
      <c r="G81" s="82"/>
      <c r="H81" s="65"/>
      <c r="I81" s="66">
        <f t="shared" si="10"/>
        <v>0</v>
      </c>
      <c r="J81" s="82"/>
      <c r="K81" s="82"/>
      <c r="L81" s="82"/>
      <c r="M81" s="65"/>
      <c r="N81" s="66">
        <f t="shared" si="11"/>
        <v>0</v>
      </c>
      <c r="O81" s="71">
        <f t="shared" si="0"/>
        <v>0</v>
      </c>
      <c r="P81" s="11"/>
    </row>
    <row r="82" spans="1:16" ht="15.5" customHeight="1" x14ac:dyDescent="0.3">
      <c r="A82" s="40"/>
      <c r="B82" s="41"/>
      <c r="C82" s="15" t="s">
        <v>108</v>
      </c>
      <c r="D82" s="11"/>
      <c r="E82" s="82"/>
      <c r="F82" s="82"/>
      <c r="G82" s="82"/>
      <c r="H82" s="63"/>
      <c r="I82" s="99">
        <f t="shared" si="10"/>
        <v>0</v>
      </c>
      <c r="J82" s="82"/>
      <c r="K82" s="82"/>
      <c r="L82" s="82"/>
      <c r="M82" s="63"/>
      <c r="N82" s="99">
        <f t="shared" si="11"/>
        <v>0</v>
      </c>
      <c r="O82" s="12">
        <f t="shared" si="0"/>
        <v>0</v>
      </c>
      <c r="P82" s="11"/>
    </row>
    <row r="83" spans="1:16" ht="15.5" customHeight="1" x14ac:dyDescent="0.3">
      <c r="A83" s="246" t="s">
        <v>79</v>
      </c>
      <c r="B83" s="247"/>
      <c r="C83" s="248"/>
      <c r="D83" s="11"/>
      <c r="E83" s="82"/>
      <c r="F83" s="82"/>
      <c r="G83" s="82"/>
      <c r="H83" s="65"/>
      <c r="I83" s="66">
        <f t="shared" si="10"/>
        <v>0</v>
      </c>
      <c r="J83" s="82"/>
      <c r="K83" s="82"/>
      <c r="L83" s="82"/>
      <c r="M83" s="65"/>
      <c r="N83" s="66">
        <f t="shared" si="11"/>
        <v>0</v>
      </c>
      <c r="O83" s="71">
        <f t="shared" si="0"/>
        <v>0</v>
      </c>
      <c r="P83" s="11"/>
    </row>
    <row r="84" spans="1:16" ht="15.5" customHeight="1" x14ac:dyDescent="0.3">
      <c r="A84" s="40"/>
      <c r="B84" s="41"/>
      <c r="C84" s="15" t="s">
        <v>108</v>
      </c>
      <c r="D84" s="11"/>
      <c r="E84" s="82"/>
      <c r="F84" s="82"/>
      <c r="G84" s="82"/>
      <c r="H84" s="63"/>
      <c r="I84" s="99">
        <f t="shared" si="10"/>
        <v>0</v>
      </c>
      <c r="J84" s="82"/>
      <c r="K84" s="82"/>
      <c r="L84" s="82"/>
      <c r="M84" s="63"/>
      <c r="N84" s="99">
        <f t="shared" si="11"/>
        <v>0</v>
      </c>
      <c r="O84" s="12">
        <f t="shared" ref="O84:O128" si="12">N84-I84</f>
        <v>0</v>
      </c>
      <c r="P84" s="11"/>
    </row>
    <row r="85" spans="1:16" ht="15.5" customHeight="1" x14ac:dyDescent="0.3">
      <c r="A85" s="246" t="s">
        <v>81</v>
      </c>
      <c r="B85" s="247"/>
      <c r="C85" s="248"/>
      <c r="D85" s="11"/>
      <c r="E85" s="82"/>
      <c r="F85" s="82"/>
      <c r="G85" s="82"/>
      <c r="H85" s="65"/>
      <c r="I85" s="66">
        <f t="shared" si="10"/>
        <v>0</v>
      </c>
      <c r="J85" s="82"/>
      <c r="K85" s="82"/>
      <c r="L85" s="82"/>
      <c r="M85" s="65"/>
      <c r="N85" s="66">
        <f t="shared" si="11"/>
        <v>0</v>
      </c>
      <c r="O85" s="71">
        <f t="shared" si="12"/>
        <v>0</v>
      </c>
      <c r="P85" s="11"/>
    </row>
    <row r="86" spans="1:16" ht="15.5" customHeight="1" x14ac:dyDescent="0.3">
      <c r="A86" s="37"/>
      <c r="B86" s="38"/>
      <c r="C86" s="15" t="s">
        <v>108</v>
      </c>
      <c r="D86" s="11"/>
      <c r="E86" s="82"/>
      <c r="F86" s="82"/>
      <c r="G86" s="82"/>
      <c r="H86" s="63"/>
      <c r="I86" s="99">
        <f t="shared" si="10"/>
        <v>0</v>
      </c>
      <c r="J86" s="82"/>
      <c r="K86" s="82"/>
      <c r="L86" s="82"/>
      <c r="M86" s="63"/>
      <c r="N86" s="99">
        <f t="shared" si="11"/>
        <v>0</v>
      </c>
      <c r="O86" s="12">
        <f t="shared" si="12"/>
        <v>0</v>
      </c>
      <c r="P86" s="11"/>
    </row>
    <row r="87" spans="1:16" ht="15.5" customHeight="1" x14ac:dyDescent="0.3">
      <c r="A87" s="214"/>
      <c r="B87" s="215"/>
      <c r="C87" s="216"/>
      <c r="D87" s="11"/>
      <c r="E87" s="12"/>
      <c r="F87" s="12"/>
      <c r="G87" s="12"/>
      <c r="H87" s="63"/>
      <c r="I87" s="13"/>
      <c r="J87" s="12"/>
      <c r="K87" s="12"/>
      <c r="L87" s="12"/>
      <c r="M87" s="63"/>
      <c r="N87" s="13"/>
      <c r="O87" s="71"/>
      <c r="P87" s="11"/>
    </row>
    <row r="88" spans="1:16" ht="13" customHeight="1" x14ac:dyDescent="0.3">
      <c r="A88" s="261" t="s">
        <v>80</v>
      </c>
      <c r="B88" s="262"/>
      <c r="C88" s="263"/>
      <c r="D88" s="16"/>
      <c r="E88" s="82"/>
      <c r="F88" s="82"/>
      <c r="G88" s="82"/>
      <c r="H88" s="64"/>
      <c r="I88" s="66">
        <f>H88</f>
        <v>0</v>
      </c>
      <c r="J88" s="82"/>
      <c r="K88" s="82"/>
      <c r="L88" s="82"/>
      <c r="M88" s="64"/>
      <c r="N88" s="66">
        <f>M88</f>
        <v>0</v>
      </c>
      <c r="O88" s="71">
        <f t="shared" si="12"/>
        <v>0</v>
      </c>
      <c r="P88" s="16"/>
    </row>
    <row r="89" spans="1:16" ht="15.5" customHeight="1" x14ac:dyDescent="0.3">
      <c r="A89" s="214"/>
      <c r="B89" s="215"/>
      <c r="C89" s="216"/>
      <c r="D89" s="11"/>
      <c r="E89" s="12"/>
      <c r="F89" s="12"/>
      <c r="G89" s="12"/>
      <c r="H89" s="26"/>
      <c r="I89" s="13"/>
      <c r="J89" s="12"/>
      <c r="K89" s="12"/>
      <c r="L89" s="12"/>
      <c r="M89" s="26"/>
      <c r="N89" s="13"/>
      <c r="O89" s="71"/>
      <c r="P89" s="11"/>
    </row>
    <row r="90" spans="1:16" x14ac:dyDescent="0.3">
      <c r="A90" s="264" t="s">
        <v>59</v>
      </c>
      <c r="B90" s="265"/>
      <c r="C90" s="266"/>
      <c r="D90" s="11"/>
      <c r="E90" s="82"/>
      <c r="F90" s="82"/>
      <c r="G90" s="82"/>
      <c r="H90" s="83"/>
      <c r="I90" s="93"/>
      <c r="J90" s="82"/>
      <c r="K90" s="82"/>
      <c r="L90" s="82"/>
      <c r="M90" s="83"/>
      <c r="N90" s="93"/>
      <c r="O90" s="103"/>
      <c r="P90" s="87"/>
    </row>
    <row r="91" spans="1:16" x14ac:dyDescent="0.3">
      <c r="A91" s="264" t="s">
        <v>82</v>
      </c>
      <c r="B91" s="265"/>
      <c r="C91" s="266"/>
      <c r="D91" s="11"/>
      <c r="E91" s="82"/>
      <c r="F91" s="82"/>
      <c r="G91" s="82"/>
      <c r="H91" s="83"/>
      <c r="I91" s="93"/>
      <c r="J91" s="82"/>
      <c r="K91" s="82"/>
      <c r="L91" s="82"/>
      <c r="M91" s="83"/>
      <c r="N91" s="93"/>
      <c r="O91" s="103"/>
      <c r="P91" s="87"/>
    </row>
    <row r="92" spans="1:16" ht="15.5" customHeight="1" x14ac:dyDescent="0.3">
      <c r="A92" s="246" t="s">
        <v>83</v>
      </c>
      <c r="B92" s="247"/>
      <c r="C92" s="248"/>
      <c r="D92" s="11"/>
      <c r="E92" s="82"/>
      <c r="F92" s="82"/>
      <c r="G92" s="26"/>
      <c r="H92" s="83"/>
      <c r="I92" s="13">
        <f>G92</f>
        <v>0</v>
      </c>
      <c r="J92" s="82"/>
      <c r="K92" s="82"/>
      <c r="L92" s="26"/>
      <c r="M92" s="83"/>
      <c r="N92" s="13">
        <f>L92</f>
        <v>0</v>
      </c>
      <c r="O92" s="12">
        <f t="shared" si="12"/>
        <v>0</v>
      </c>
      <c r="P92" s="11"/>
    </row>
    <row r="93" spans="1:16" ht="15.5" customHeight="1" x14ac:dyDescent="0.3">
      <c r="A93" s="246" t="s">
        <v>84</v>
      </c>
      <c r="B93" s="247"/>
      <c r="C93" s="248"/>
      <c r="D93" s="11"/>
      <c r="E93" s="82"/>
      <c r="F93" s="82"/>
      <c r="G93" s="26"/>
      <c r="H93" s="83"/>
      <c r="I93" s="13">
        <f t="shared" ref="I93:I96" si="13">G93</f>
        <v>0</v>
      </c>
      <c r="J93" s="82"/>
      <c r="K93" s="82"/>
      <c r="L93" s="26"/>
      <c r="M93" s="83"/>
      <c r="N93" s="13">
        <f t="shared" ref="N93:N96" si="14">L93</f>
        <v>0</v>
      </c>
      <c r="O93" s="12">
        <f t="shared" si="12"/>
        <v>0</v>
      </c>
      <c r="P93" s="11"/>
    </row>
    <row r="94" spans="1:16" ht="15.5" customHeight="1" x14ac:dyDescent="0.3">
      <c r="A94" s="246" t="s">
        <v>85</v>
      </c>
      <c r="B94" s="247"/>
      <c r="C94" s="248"/>
      <c r="D94" s="11"/>
      <c r="E94" s="82"/>
      <c r="F94" s="82"/>
      <c r="G94" s="26"/>
      <c r="H94" s="83"/>
      <c r="I94" s="13">
        <f t="shared" si="13"/>
        <v>0</v>
      </c>
      <c r="J94" s="82"/>
      <c r="K94" s="82"/>
      <c r="L94" s="26"/>
      <c r="M94" s="83"/>
      <c r="N94" s="13">
        <f t="shared" si="14"/>
        <v>0</v>
      </c>
      <c r="O94" s="12">
        <f t="shared" si="12"/>
        <v>0</v>
      </c>
      <c r="P94" s="11"/>
    </row>
    <row r="95" spans="1:16" ht="34.75" customHeight="1" x14ac:dyDescent="0.3">
      <c r="A95" s="252" t="s">
        <v>112</v>
      </c>
      <c r="B95" s="253"/>
      <c r="C95" s="254"/>
      <c r="D95" s="11"/>
      <c r="E95" s="82"/>
      <c r="F95" s="82"/>
      <c r="G95" s="26"/>
      <c r="H95" s="83"/>
      <c r="I95" s="13">
        <f t="shared" si="13"/>
        <v>0</v>
      </c>
      <c r="J95" s="82"/>
      <c r="K95" s="82"/>
      <c r="L95" s="26"/>
      <c r="M95" s="83"/>
      <c r="N95" s="13">
        <f t="shared" si="14"/>
        <v>0</v>
      </c>
      <c r="O95" s="12">
        <f t="shared" si="12"/>
        <v>0</v>
      </c>
      <c r="P95" s="11"/>
    </row>
    <row r="96" spans="1:16" x14ac:dyDescent="0.3">
      <c r="A96" s="252" t="s">
        <v>65</v>
      </c>
      <c r="B96" s="253"/>
      <c r="C96" s="254"/>
      <c r="D96" s="11"/>
      <c r="E96" s="82"/>
      <c r="F96" s="82"/>
      <c r="G96" s="68"/>
      <c r="H96" s="84"/>
      <c r="I96" s="13">
        <f t="shared" si="13"/>
        <v>0</v>
      </c>
      <c r="J96" s="82"/>
      <c r="K96" s="82"/>
      <c r="L96" s="68"/>
      <c r="M96" s="84"/>
      <c r="N96" s="13">
        <f t="shared" si="14"/>
        <v>0</v>
      </c>
      <c r="O96" s="12">
        <f t="shared" si="12"/>
        <v>0</v>
      </c>
      <c r="P96" s="11"/>
    </row>
    <row r="97" spans="1:16" x14ac:dyDescent="0.3">
      <c r="A97" s="211"/>
      <c r="B97" s="212"/>
      <c r="C97" s="213"/>
      <c r="D97" s="11"/>
      <c r="E97" s="12"/>
      <c r="F97" s="12"/>
      <c r="G97" s="12"/>
      <c r="H97" s="26"/>
      <c r="I97" s="16"/>
      <c r="J97" s="12"/>
      <c r="K97" s="12"/>
      <c r="L97" s="12"/>
      <c r="M97" s="26"/>
      <c r="N97" s="16"/>
      <c r="O97" s="104"/>
      <c r="P97" s="11"/>
    </row>
    <row r="98" spans="1:16" x14ac:dyDescent="0.3">
      <c r="A98" s="208" t="s">
        <v>41</v>
      </c>
      <c r="B98" s="209"/>
      <c r="C98" s="210"/>
      <c r="D98" s="19">
        <v>310400000000000</v>
      </c>
      <c r="E98" s="34"/>
      <c r="F98" s="34"/>
      <c r="G98" s="34"/>
      <c r="H98" s="29"/>
      <c r="I98" s="51"/>
      <c r="J98" s="9"/>
      <c r="K98" s="9"/>
      <c r="L98" s="9"/>
      <c r="M98" s="9"/>
      <c r="N98" s="9"/>
      <c r="O98" s="71"/>
      <c r="P98" s="9"/>
    </row>
    <row r="99" spans="1:16" x14ac:dyDescent="0.3">
      <c r="A99" s="211" t="s">
        <v>86</v>
      </c>
      <c r="B99" s="212"/>
      <c r="C99" s="213"/>
      <c r="D99" s="11"/>
      <c r="E99" s="82"/>
      <c r="F99" s="82"/>
      <c r="G99" s="82"/>
      <c r="H99" s="83"/>
      <c r="I99" s="93"/>
      <c r="J99" s="87"/>
      <c r="K99" s="87"/>
      <c r="L99" s="87"/>
      <c r="M99" s="87"/>
      <c r="N99" s="87"/>
      <c r="O99" s="103"/>
      <c r="P99" s="87"/>
    </row>
    <row r="100" spans="1:16" ht="13" customHeight="1" x14ac:dyDescent="0.3">
      <c r="A100" s="243" t="s">
        <v>87</v>
      </c>
      <c r="B100" s="244"/>
      <c r="C100" s="245"/>
      <c r="D100" s="16"/>
      <c r="E100" s="82"/>
      <c r="F100" s="82"/>
      <c r="G100" s="82"/>
      <c r="H100" s="83"/>
      <c r="I100" s="86"/>
      <c r="J100" s="86"/>
      <c r="K100" s="86"/>
      <c r="L100" s="86"/>
      <c r="M100" s="86"/>
      <c r="N100" s="86"/>
      <c r="O100" s="103"/>
      <c r="P100" s="86"/>
    </row>
    <row r="101" spans="1:16" ht="15.5" customHeight="1" x14ac:dyDescent="0.3">
      <c r="A101" s="246" t="s">
        <v>56</v>
      </c>
      <c r="B101" s="247"/>
      <c r="C101" s="248"/>
      <c r="D101" s="11"/>
      <c r="E101" s="82"/>
      <c r="F101" s="82"/>
      <c r="G101" s="82"/>
      <c r="H101" s="68"/>
      <c r="I101" s="96">
        <f>H101</f>
        <v>0</v>
      </c>
      <c r="J101" s="82"/>
      <c r="K101" s="82"/>
      <c r="L101" s="82"/>
      <c r="M101" s="101"/>
      <c r="N101" s="102">
        <f>M101</f>
        <v>0</v>
      </c>
      <c r="O101" s="71">
        <f t="shared" si="12"/>
        <v>0</v>
      </c>
      <c r="P101" s="11"/>
    </row>
    <row r="102" spans="1:16" ht="15.5" customHeight="1" x14ac:dyDescent="0.3">
      <c r="A102" s="246" t="s">
        <v>88</v>
      </c>
      <c r="B102" s="247"/>
      <c r="C102" s="248"/>
      <c r="D102" s="11"/>
      <c r="E102" s="82"/>
      <c r="F102" s="82"/>
      <c r="G102" s="82"/>
      <c r="H102" s="31"/>
      <c r="I102" s="96">
        <f>H102</f>
        <v>0</v>
      </c>
      <c r="J102" s="82"/>
      <c r="K102" s="82"/>
      <c r="L102" s="82"/>
      <c r="M102" s="101"/>
      <c r="N102" s="102">
        <f>M102</f>
        <v>0</v>
      </c>
      <c r="O102" s="71">
        <f t="shared" si="12"/>
        <v>0</v>
      </c>
      <c r="P102" s="11"/>
    </row>
    <row r="103" spans="1:16" ht="13" customHeight="1" x14ac:dyDescent="0.3">
      <c r="A103" s="243" t="s">
        <v>89</v>
      </c>
      <c r="B103" s="244"/>
      <c r="C103" s="245"/>
      <c r="D103" s="16"/>
      <c r="E103" s="82"/>
      <c r="F103" s="82"/>
      <c r="G103" s="82"/>
      <c r="H103" s="100"/>
      <c r="I103" s="86"/>
      <c r="J103" s="82"/>
      <c r="K103" s="82"/>
      <c r="L103" s="82"/>
      <c r="M103" s="86"/>
      <c r="N103" s="86"/>
      <c r="O103" s="103"/>
      <c r="P103" s="86"/>
    </row>
    <row r="104" spans="1:16" ht="15.5" customHeight="1" x14ac:dyDescent="0.3">
      <c r="A104" s="246" t="s">
        <v>56</v>
      </c>
      <c r="B104" s="247"/>
      <c r="C104" s="248"/>
      <c r="D104" s="11"/>
      <c r="E104" s="82"/>
      <c r="F104" s="82"/>
      <c r="G104" s="82"/>
      <c r="H104" s="31"/>
      <c r="I104" s="96">
        <f>H104</f>
        <v>0</v>
      </c>
      <c r="J104" s="82"/>
      <c r="K104" s="82"/>
      <c r="L104" s="82"/>
      <c r="M104" s="101"/>
      <c r="N104" s="71">
        <f>M104</f>
        <v>0</v>
      </c>
      <c r="O104" s="71">
        <f t="shared" si="12"/>
        <v>0</v>
      </c>
      <c r="P104" s="11"/>
    </row>
    <row r="105" spans="1:16" ht="15.5" customHeight="1" x14ac:dyDescent="0.3">
      <c r="A105" s="246" t="s">
        <v>88</v>
      </c>
      <c r="B105" s="247"/>
      <c r="C105" s="248"/>
      <c r="D105" s="11"/>
      <c r="E105" s="82"/>
      <c r="F105" s="82"/>
      <c r="G105" s="82"/>
      <c r="H105" s="31"/>
      <c r="I105" s="96">
        <f>H105</f>
        <v>0</v>
      </c>
      <c r="J105" s="82"/>
      <c r="K105" s="82"/>
      <c r="L105" s="82"/>
      <c r="M105" s="101"/>
      <c r="N105" s="71">
        <f>M105</f>
        <v>0</v>
      </c>
      <c r="O105" s="71">
        <f t="shared" si="12"/>
        <v>0</v>
      </c>
      <c r="P105" s="11"/>
    </row>
    <row r="106" spans="1:16" ht="27.65" customHeight="1" x14ac:dyDescent="0.3">
      <c r="A106" s="243" t="s">
        <v>90</v>
      </c>
      <c r="B106" s="244"/>
      <c r="C106" s="245"/>
      <c r="D106" s="16"/>
      <c r="E106" s="82"/>
      <c r="F106" s="82"/>
      <c r="G106" s="82"/>
      <c r="H106" s="83"/>
      <c r="I106" s="86"/>
      <c r="J106" s="86"/>
      <c r="K106" s="86"/>
      <c r="L106" s="86"/>
      <c r="M106" s="86"/>
      <c r="N106" s="86"/>
      <c r="O106" s="103"/>
      <c r="P106" s="86"/>
    </row>
    <row r="107" spans="1:16" ht="15.5" customHeight="1" x14ac:dyDescent="0.3">
      <c r="A107" s="246" t="s">
        <v>91</v>
      </c>
      <c r="B107" s="247"/>
      <c r="C107" s="248"/>
      <c r="D107" s="11"/>
      <c r="E107" s="109">
        <v>1</v>
      </c>
      <c r="F107" s="82"/>
      <c r="G107" s="82"/>
      <c r="H107" s="83"/>
      <c r="I107" s="96">
        <f>E107</f>
        <v>1</v>
      </c>
      <c r="J107" s="101"/>
      <c r="K107" s="82"/>
      <c r="L107" s="82"/>
      <c r="M107" s="83"/>
      <c r="N107" s="71">
        <f>J107</f>
        <v>0</v>
      </c>
      <c r="O107" s="71">
        <f t="shared" si="12"/>
        <v>-1</v>
      </c>
      <c r="P107" s="11"/>
    </row>
    <row r="108" spans="1:16" ht="15.5" customHeight="1" x14ac:dyDescent="0.3">
      <c r="A108" s="246" t="s">
        <v>92</v>
      </c>
      <c r="B108" s="247"/>
      <c r="C108" s="248"/>
      <c r="D108" s="11"/>
      <c r="E108" s="109">
        <v>1</v>
      </c>
      <c r="F108" s="82"/>
      <c r="G108" s="82"/>
      <c r="H108" s="83"/>
      <c r="I108" s="96">
        <f t="shared" ref="I108:I109" si="15">E108</f>
        <v>1</v>
      </c>
      <c r="J108" s="101"/>
      <c r="K108" s="82"/>
      <c r="L108" s="82"/>
      <c r="M108" s="83"/>
      <c r="N108" s="71">
        <f t="shared" ref="N108:N109" si="16">J108</f>
        <v>0</v>
      </c>
      <c r="O108" s="71">
        <f t="shared" si="12"/>
        <v>-1</v>
      </c>
      <c r="P108" s="11"/>
    </row>
    <row r="109" spans="1:16" ht="15.5" customHeight="1" x14ac:dyDescent="0.3">
      <c r="A109" s="246" t="s">
        <v>93</v>
      </c>
      <c r="B109" s="247"/>
      <c r="C109" s="248"/>
      <c r="D109" s="11"/>
      <c r="E109" s="109">
        <v>1</v>
      </c>
      <c r="F109" s="82"/>
      <c r="G109" s="82"/>
      <c r="H109" s="83"/>
      <c r="I109" s="96">
        <f t="shared" si="15"/>
        <v>1</v>
      </c>
      <c r="J109" s="101"/>
      <c r="K109" s="82"/>
      <c r="L109" s="82"/>
      <c r="M109" s="83"/>
      <c r="N109" s="71">
        <f t="shared" si="16"/>
        <v>0</v>
      </c>
      <c r="O109" s="71">
        <f t="shared" si="12"/>
        <v>-1</v>
      </c>
      <c r="P109" s="11"/>
    </row>
    <row r="110" spans="1:16" ht="15.5" customHeight="1" x14ac:dyDescent="0.3">
      <c r="A110" s="14"/>
      <c r="B110" s="3"/>
      <c r="C110" s="15"/>
      <c r="D110" s="11"/>
      <c r="E110" s="12"/>
      <c r="F110" s="12"/>
      <c r="G110" s="12"/>
      <c r="H110" s="26"/>
      <c r="I110" s="13"/>
      <c r="J110" s="11"/>
      <c r="K110" s="11"/>
      <c r="L110" s="11"/>
      <c r="M110" s="11"/>
      <c r="N110" s="11"/>
      <c r="O110" s="71"/>
      <c r="P110" s="11"/>
    </row>
    <row r="111" spans="1:16" x14ac:dyDescent="0.3">
      <c r="A111" s="211" t="s">
        <v>24</v>
      </c>
      <c r="B111" s="212"/>
      <c r="C111" s="213"/>
      <c r="D111" s="11"/>
      <c r="E111" s="82"/>
      <c r="F111" s="82"/>
      <c r="G111" s="82"/>
      <c r="H111" s="83"/>
      <c r="I111" s="93"/>
      <c r="J111" s="87"/>
      <c r="K111" s="87"/>
      <c r="L111" s="87"/>
      <c r="M111" s="87"/>
      <c r="N111" s="87"/>
      <c r="O111" s="103"/>
      <c r="P111" s="87"/>
    </row>
    <row r="112" spans="1:16" s="22" customFormat="1" ht="22.25" customHeight="1" x14ac:dyDescent="0.3">
      <c r="A112" s="252" t="s">
        <v>94</v>
      </c>
      <c r="B112" s="253"/>
      <c r="C112" s="254"/>
      <c r="D112" s="16"/>
      <c r="E112" s="82"/>
      <c r="F112" s="82"/>
      <c r="G112" s="82"/>
      <c r="H112" s="83"/>
      <c r="I112" s="86"/>
      <c r="J112" s="86"/>
      <c r="K112" s="86"/>
      <c r="L112" s="86"/>
      <c r="M112" s="86"/>
      <c r="N112" s="86"/>
      <c r="O112" s="103"/>
      <c r="P112" s="86"/>
    </row>
    <row r="113" spans="1:16" ht="15.5" customHeight="1" x14ac:dyDescent="0.3">
      <c r="A113" s="211" t="s">
        <v>28</v>
      </c>
      <c r="B113" s="212"/>
      <c r="C113" s="213"/>
      <c r="D113" s="11"/>
      <c r="E113" s="82"/>
      <c r="F113" s="82"/>
      <c r="G113" s="82"/>
      <c r="H113" s="63"/>
      <c r="I113" s="13">
        <f>H113</f>
        <v>0</v>
      </c>
      <c r="J113" s="82"/>
      <c r="K113" s="82"/>
      <c r="L113" s="82"/>
      <c r="M113" s="11"/>
      <c r="N113" s="12">
        <f>M113</f>
        <v>0</v>
      </c>
      <c r="O113" s="12">
        <f t="shared" si="12"/>
        <v>0</v>
      </c>
      <c r="P113" s="11"/>
    </row>
    <row r="114" spans="1:16" ht="15.5" customHeight="1" x14ac:dyDescent="0.3">
      <c r="A114" s="211" t="s">
        <v>29</v>
      </c>
      <c r="B114" s="212"/>
      <c r="C114" s="213"/>
      <c r="D114" s="11"/>
      <c r="E114" s="82"/>
      <c r="F114" s="82"/>
      <c r="G114" s="82"/>
      <c r="H114" s="63"/>
      <c r="I114" s="13">
        <f>H114</f>
        <v>0</v>
      </c>
      <c r="J114" s="82"/>
      <c r="K114" s="82"/>
      <c r="L114" s="82"/>
      <c r="M114" s="11"/>
      <c r="N114" s="12">
        <f>M114</f>
        <v>0</v>
      </c>
      <c r="O114" s="12">
        <f t="shared" si="12"/>
        <v>0</v>
      </c>
      <c r="P114" s="11"/>
    </row>
    <row r="115" spans="1:16" ht="15.5" customHeight="1" x14ac:dyDescent="0.3">
      <c r="A115" s="14"/>
      <c r="B115" s="3"/>
      <c r="C115" s="15"/>
      <c r="D115" s="11"/>
      <c r="E115" s="12"/>
      <c r="F115" s="12"/>
      <c r="G115" s="12"/>
      <c r="H115" s="26"/>
      <c r="I115" s="13"/>
      <c r="J115" s="11"/>
      <c r="K115" s="11"/>
      <c r="L115" s="11"/>
      <c r="M115" s="11"/>
      <c r="N115" s="11"/>
      <c r="O115" s="71"/>
      <c r="P115" s="11"/>
    </row>
    <row r="116" spans="1:16" ht="13" customHeight="1" x14ac:dyDescent="0.3">
      <c r="A116" s="243" t="s">
        <v>95</v>
      </c>
      <c r="B116" s="244"/>
      <c r="C116" s="245"/>
      <c r="D116" s="11"/>
      <c r="E116" s="82"/>
      <c r="F116" s="82"/>
      <c r="G116" s="82"/>
      <c r="H116" s="83"/>
      <c r="I116" s="86"/>
      <c r="J116" s="87"/>
      <c r="K116" s="87"/>
      <c r="L116" s="87"/>
      <c r="M116" s="87"/>
      <c r="N116" s="87"/>
      <c r="O116" s="103"/>
      <c r="P116" s="87"/>
    </row>
    <row r="117" spans="1:16" ht="15.5" customHeight="1" x14ac:dyDescent="0.3">
      <c r="A117" s="211" t="s">
        <v>30</v>
      </c>
      <c r="B117" s="212"/>
      <c r="C117" s="213"/>
      <c r="D117" s="11"/>
      <c r="E117" s="82"/>
      <c r="F117" s="82"/>
      <c r="G117" s="82"/>
      <c r="H117" s="26"/>
      <c r="I117" s="13">
        <f>H117</f>
        <v>0</v>
      </c>
      <c r="J117" s="82"/>
      <c r="K117" s="82"/>
      <c r="L117" s="82"/>
      <c r="M117" s="11"/>
      <c r="N117" s="12">
        <f>M117</f>
        <v>0</v>
      </c>
      <c r="O117" s="12">
        <f t="shared" si="12"/>
        <v>0</v>
      </c>
      <c r="P117" s="11"/>
    </row>
    <row r="118" spans="1:16" ht="15.5" customHeight="1" x14ac:dyDescent="0.3">
      <c r="A118" s="211" t="s">
        <v>31</v>
      </c>
      <c r="B118" s="212"/>
      <c r="C118" s="213"/>
      <c r="D118" s="11"/>
      <c r="E118" s="82"/>
      <c r="F118" s="82"/>
      <c r="G118" s="82"/>
      <c r="H118" s="26"/>
      <c r="I118" s="13">
        <f t="shared" ref="I118:I119" si="17">H118</f>
        <v>0</v>
      </c>
      <c r="J118" s="82"/>
      <c r="K118" s="82"/>
      <c r="L118" s="82"/>
      <c r="M118" s="11"/>
      <c r="N118" s="12">
        <f t="shared" ref="N118:N119" si="18">M118</f>
        <v>0</v>
      </c>
      <c r="O118" s="12">
        <f t="shared" si="12"/>
        <v>0</v>
      </c>
      <c r="P118" s="11"/>
    </row>
    <row r="119" spans="1:16" ht="15.5" customHeight="1" x14ac:dyDescent="0.3">
      <c r="A119" s="211" t="s">
        <v>32</v>
      </c>
      <c r="B119" s="212"/>
      <c r="C119" s="213"/>
      <c r="D119" s="11"/>
      <c r="E119" s="82"/>
      <c r="F119" s="82"/>
      <c r="G119" s="82"/>
      <c r="H119" s="26"/>
      <c r="I119" s="13">
        <f t="shared" si="17"/>
        <v>0</v>
      </c>
      <c r="J119" s="82"/>
      <c r="K119" s="82"/>
      <c r="L119" s="82"/>
      <c r="M119" s="11"/>
      <c r="N119" s="12">
        <f t="shared" si="18"/>
        <v>0</v>
      </c>
      <c r="O119" s="12">
        <f t="shared" si="12"/>
        <v>0</v>
      </c>
      <c r="P119" s="11"/>
    </row>
    <row r="120" spans="1:16" ht="13" customHeight="1" x14ac:dyDescent="0.3">
      <c r="A120" s="261"/>
      <c r="B120" s="262"/>
      <c r="C120" s="263"/>
      <c r="D120" s="16"/>
      <c r="E120" s="12"/>
      <c r="F120" s="12"/>
      <c r="G120" s="12"/>
      <c r="H120" s="26"/>
      <c r="I120" s="16"/>
      <c r="J120" s="16"/>
      <c r="K120" s="16"/>
      <c r="L120" s="16"/>
      <c r="M120" s="16"/>
      <c r="N120" s="16"/>
      <c r="O120" s="104"/>
      <c r="P120" s="16"/>
    </row>
    <row r="121" spans="1:16" x14ac:dyDescent="0.3">
      <c r="A121" s="208" t="s">
        <v>40</v>
      </c>
      <c r="B121" s="209"/>
      <c r="C121" s="210"/>
      <c r="D121" s="19">
        <v>310500000000000</v>
      </c>
      <c r="E121" s="105"/>
      <c r="F121" s="105"/>
      <c r="G121" s="105"/>
      <c r="H121" s="106"/>
      <c r="I121" s="107"/>
      <c r="J121" s="108"/>
      <c r="K121" s="108"/>
      <c r="L121" s="108"/>
      <c r="M121" s="108"/>
      <c r="N121" s="108"/>
      <c r="O121" s="103"/>
      <c r="P121" s="108"/>
    </row>
    <row r="122" spans="1:16" x14ac:dyDescent="0.3">
      <c r="A122" s="233" t="s">
        <v>86</v>
      </c>
      <c r="B122" s="234"/>
      <c r="C122" s="235"/>
      <c r="D122" s="87"/>
      <c r="E122" s="82"/>
      <c r="F122" s="82"/>
      <c r="G122" s="82"/>
      <c r="H122" s="83"/>
      <c r="I122" s="93"/>
      <c r="J122" s="87"/>
      <c r="K122" s="87"/>
      <c r="L122" s="87"/>
      <c r="M122" s="87"/>
      <c r="N122" s="87"/>
      <c r="O122" s="103"/>
      <c r="P122" s="87"/>
    </row>
    <row r="123" spans="1:16" s="10" customFormat="1" ht="28.25" customHeight="1" x14ac:dyDescent="0.35">
      <c r="A123" s="227" t="s">
        <v>96</v>
      </c>
      <c r="B123" s="228"/>
      <c r="C123" s="229"/>
      <c r="D123" s="12"/>
      <c r="E123" s="98"/>
      <c r="F123" s="98"/>
      <c r="G123" s="98"/>
      <c r="H123" s="68"/>
      <c r="I123" s="98" t="e">
        <f>AVERAGE(E123:H123)</f>
        <v>#DIV/0!</v>
      </c>
      <c r="J123" s="12"/>
      <c r="K123" s="12"/>
      <c r="L123" s="12"/>
      <c r="M123" s="12"/>
      <c r="N123" s="12" t="e">
        <f>AVERAGE(J123:M123)</f>
        <v>#DIV/0!</v>
      </c>
      <c r="O123" s="71" t="e">
        <f t="shared" si="12"/>
        <v>#DIV/0!</v>
      </c>
      <c r="P123" s="12"/>
    </row>
    <row r="124" spans="1:16" s="10" customFormat="1" ht="15.5" customHeight="1" x14ac:dyDescent="0.35">
      <c r="A124" s="72"/>
      <c r="B124" s="73"/>
      <c r="C124" s="74" t="s">
        <v>109</v>
      </c>
      <c r="D124" s="12"/>
      <c r="E124" s="98"/>
      <c r="F124" s="98"/>
      <c r="G124" s="98"/>
      <c r="H124" s="68"/>
      <c r="I124" s="98" t="e">
        <f>AVERAGE(E124:H124)</f>
        <v>#DIV/0!</v>
      </c>
      <c r="J124" s="12"/>
      <c r="K124" s="12"/>
      <c r="L124" s="12"/>
      <c r="M124" s="12"/>
      <c r="N124" s="12" t="e">
        <f>AVERAGE(J124:M124)</f>
        <v>#DIV/0!</v>
      </c>
      <c r="O124" s="71" t="e">
        <f t="shared" si="12"/>
        <v>#DIV/0!</v>
      </c>
      <c r="P124" s="12"/>
    </row>
    <row r="125" spans="1:16" s="10" customFormat="1" ht="15.5" customHeight="1" x14ac:dyDescent="0.35">
      <c r="A125" s="72"/>
      <c r="B125" s="73"/>
      <c r="C125" s="75" t="s">
        <v>110</v>
      </c>
      <c r="D125" s="12"/>
      <c r="E125" s="12"/>
      <c r="F125" s="12"/>
      <c r="G125" s="12"/>
      <c r="H125" s="26"/>
      <c r="I125" s="52" t="e">
        <f>AVERAGE(E125:H125)</f>
        <v>#DIV/0!</v>
      </c>
      <c r="J125" s="12"/>
      <c r="K125" s="12"/>
      <c r="L125" s="12"/>
      <c r="M125" s="12"/>
      <c r="N125" s="12" t="e">
        <f t="shared" ref="N125:N128" si="19">AVERAGE(J125:M125)</f>
        <v>#DIV/0!</v>
      </c>
      <c r="O125" s="71" t="e">
        <f t="shared" si="12"/>
        <v>#DIV/0!</v>
      </c>
      <c r="P125" s="12"/>
    </row>
    <row r="126" spans="1:16" s="10" customFormat="1" ht="15.5" customHeight="1" x14ac:dyDescent="0.35">
      <c r="A126" s="72"/>
      <c r="B126" s="73"/>
      <c r="C126" s="75" t="s">
        <v>56</v>
      </c>
      <c r="D126" s="12"/>
      <c r="E126" s="12"/>
      <c r="F126" s="12"/>
      <c r="G126" s="12"/>
      <c r="H126" s="26"/>
      <c r="I126" s="52" t="e">
        <f t="shared" ref="I126:I128" si="20">AVERAGE(E126:H126)</f>
        <v>#DIV/0!</v>
      </c>
      <c r="J126" s="12"/>
      <c r="K126" s="12"/>
      <c r="L126" s="12"/>
      <c r="M126" s="12"/>
      <c r="N126" s="12" t="e">
        <f t="shared" si="19"/>
        <v>#DIV/0!</v>
      </c>
      <c r="O126" s="71" t="e">
        <f t="shared" si="12"/>
        <v>#DIV/0!</v>
      </c>
      <c r="P126" s="12"/>
    </row>
    <row r="127" spans="1:16" s="10" customFormat="1" ht="15.5" customHeight="1" x14ac:dyDescent="0.35">
      <c r="A127" s="72"/>
      <c r="B127" s="73"/>
      <c r="C127" s="75" t="s">
        <v>57</v>
      </c>
      <c r="D127" s="12"/>
      <c r="E127" s="12"/>
      <c r="F127" s="12"/>
      <c r="G127" s="12"/>
      <c r="H127" s="26"/>
      <c r="I127" s="52" t="e">
        <f t="shared" si="20"/>
        <v>#DIV/0!</v>
      </c>
      <c r="J127" s="12"/>
      <c r="K127" s="12"/>
      <c r="L127" s="12"/>
      <c r="M127" s="12"/>
      <c r="N127" s="12" t="e">
        <f t="shared" si="19"/>
        <v>#DIV/0!</v>
      </c>
      <c r="O127" s="71" t="e">
        <f t="shared" si="12"/>
        <v>#DIV/0!</v>
      </c>
      <c r="P127" s="12"/>
    </row>
    <row r="128" spans="1:16" s="10" customFormat="1" ht="15.5" customHeight="1" x14ac:dyDescent="0.35">
      <c r="A128" s="72"/>
      <c r="B128" s="73"/>
      <c r="C128" s="75" t="s">
        <v>58</v>
      </c>
      <c r="D128" s="12"/>
      <c r="E128" s="12"/>
      <c r="F128" s="12"/>
      <c r="G128" s="12"/>
      <c r="H128" s="26"/>
      <c r="I128" s="52" t="e">
        <f t="shared" si="20"/>
        <v>#DIV/0!</v>
      </c>
      <c r="J128" s="12"/>
      <c r="K128" s="12"/>
      <c r="L128" s="12"/>
      <c r="M128" s="12"/>
      <c r="N128" s="12" t="e">
        <f t="shared" si="19"/>
        <v>#DIV/0!</v>
      </c>
      <c r="O128" s="71" t="e">
        <f t="shared" si="12"/>
        <v>#DIV/0!</v>
      </c>
      <c r="P128" s="12"/>
    </row>
    <row r="129" spans="1:16" s="10" customFormat="1" ht="15.5" customHeight="1" x14ac:dyDescent="0.35">
      <c r="A129" s="72"/>
      <c r="B129" s="73"/>
      <c r="C129" s="74"/>
      <c r="D129" s="12"/>
      <c r="E129" s="12"/>
      <c r="F129" s="12"/>
      <c r="G129" s="12"/>
      <c r="H129" s="26"/>
      <c r="I129" s="52"/>
      <c r="J129" s="12"/>
      <c r="K129" s="12"/>
      <c r="L129" s="12"/>
      <c r="M129" s="12"/>
      <c r="N129" s="12"/>
      <c r="O129" s="71"/>
      <c r="P129" s="12"/>
    </row>
    <row r="130" spans="1:16" x14ac:dyDescent="0.3">
      <c r="A130" s="224" t="s">
        <v>59</v>
      </c>
      <c r="B130" s="225"/>
      <c r="C130" s="226"/>
      <c r="D130" s="87"/>
      <c r="E130" s="82"/>
      <c r="F130" s="82"/>
      <c r="G130" s="82"/>
      <c r="H130" s="83"/>
      <c r="I130" s="93"/>
      <c r="J130" s="87"/>
      <c r="K130" s="87"/>
      <c r="L130" s="87"/>
      <c r="M130" s="87"/>
      <c r="N130" s="87"/>
      <c r="O130" s="103"/>
      <c r="P130" s="87"/>
    </row>
    <row r="131" spans="1:16" ht="31.25" customHeight="1" x14ac:dyDescent="0.3">
      <c r="A131" s="227" t="s">
        <v>97</v>
      </c>
      <c r="B131" s="228"/>
      <c r="C131" s="229"/>
      <c r="D131" s="86"/>
      <c r="E131" s="82"/>
      <c r="F131" s="82"/>
      <c r="G131" s="82"/>
      <c r="H131" s="83"/>
      <c r="I131" s="82"/>
      <c r="J131" s="86"/>
      <c r="K131" s="86"/>
      <c r="L131" s="86"/>
      <c r="M131" s="86"/>
      <c r="N131" s="82"/>
      <c r="O131" s="82"/>
      <c r="P131" s="86"/>
    </row>
    <row r="132" spans="1:16" ht="14.5" customHeight="1" x14ac:dyDescent="0.3">
      <c r="A132" s="227" t="s">
        <v>113</v>
      </c>
      <c r="B132" s="228"/>
      <c r="C132" s="229"/>
      <c r="D132" s="16"/>
      <c r="E132" s="12"/>
      <c r="F132" s="12"/>
      <c r="G132" s="12"/>
      <c r="H132" s="26"/>
      <c r="I132" s="12">
        <f>SUM(E132:H132)</f>
        <v>0</v>
      </c>
      <c r="J132" s="16"/>
      <c r="K132" s="16"/>
      <c r="L132" s="16"/>
      <c r="M132" s="16"/>
      <c r="N132" s="12">
        <f>SUM(J132:M132)</f>
        <v>0</v>
      </c>
      <c r="O132" s="12">
        <f t="shared" ref="O132:O134" si="21">N132-I132</f>
        <v>0</v>
      </c>
      <c r="P132" s="16"/>
    </row>
    <row r="133" spans="1:16" ht="14.5" customHeight="1" x14ac:dyDescent="0.3">
      <c r="A133" s="227" t="s">
        <v>114</v>
      </c>
      <c r="B133" s="228"/>
      <c r="C133" s="229"/>
      <c r="D133" s="16"/>
      <c r="E133" s="12"/>
      <c r="F133" s="12"/>
      <c r="G133" s="12"/>
      <c r="H133" s="26"/>
      <c r="I133" s="12">
        <f>SUM(E133:H133)</f>
        <v>0</v>
      </c>
      <c r="J133" s="16"/>
      <c r="K133" s="16"/>
      <c r="L133" s="16"/>
      <c r="M133" s="16"/>
      <c r="N133" s="12">
        <f>SUM(J133:M133)</f>
        <v>0</v>
      </c>
      <c r="O133" s="12">
        <f t="shared" si="21"/>
        <v>0</v>
      </c>
      <c r="P133" s="16"/>
    </row>
    <row r="134" spans="1:16" ht="14.5" customHeight="1" x14ac:dyDescent="0.3">
      <c r="A134" s="227" t="s">
        <v>115</v>
      </c>
      <c r="B134" s="228"/>
      <c r="C134" s="229"/>
      <c r="D134" s="16"/>
      <c r="E134" s="12"/>
      <c r="F134" s="12"/>
      <c r="G134" s="12"/>
      <c r="H134" s="26"/>
      <c r="I134" s="12">
        <f>SUM(E134:H134)</f>
        <v>0</v>
      </c>
      <c r="J134" s="16"/>
      <c r="K134" s="16"/>
      <c r="L134" s="16"/>
      <c r="M134" s="16"/>
      <c r="N134" s="12">
        <f>SUM(J134:M134)</f>
        <v>0</v>
      </c>
      <c r="O134" s="12">
        <f t="shared" si="21"/>
        <v>0</v>
      </c>
      <c r="P134" s="16"/>
    </row>
    <row r="135" spans="1:16" ht="14.5" customHeight="1" x14ac:dyDescent="0.3">
      <c r="A135" s="240"/>
      <c r="B135" s="241"/>
      <c r="C135" s="242"/>
      <c r="D135" s="110"/>
      <c r="E135" s="111"/>
      <c r="F135" s="111"/>
      <c r="G135" s="111"/>
      <c r="H135" s="112"/>
      <c r="I135" s="111"/>
      <c r="J135" s="110"/>
      <c r="K135" s="110"/>
      <c r="L135" s="110"/>
      <c r="M135" s="110"/>
      <c r="N135" s="111"/>
      <c r="O135" s="111"/>
      <c r="P135" s="110"/>
    </row>
    <row r="136" spans="1:16" x14ac:dyDescent="0.3">
      <c r="A136" s="215"/>
      <c r="B136" s="215"/>
      <c r="C136" s="215"/>
    </row>
    <row r="137" spans="1:16" x14ac:dyDescent="0.3">
      <c r="A137" s="268" t="s">
        <v>34</v>
      </c>
      <c r="B137" s="268"/>
      <c r="C137" s="268"/>
      <c r="H137" s="268" t="s">
        <v>35</v>
      </c>
      <c r="I137" s="268"/>
      <c r="J137" s="268"/>
      <c r="M137" s="268" t="s">
        <v>14</v>
      </c>
      <c r="N137" s="268"/>
      <c r="O137" s="268"/>
    </row>
    <row r="138" spans="1:16" x14ac:dyDescent="0.3">
      <c r="A138" s="215"/>
      <c r="B138" s="215"/>
      <c r="C138" s="215"/>
      <c r="H138" s="215"/>
      <c r="I138" s="215"/>
      <c r="J138" s="215"/>
      <c r="M138" s="215"/>
      <c r="N138" s="215"/>
      <c r="O138" s="215"/>
    </row>
    <row r="139" spans="1:16" x14ac:dyDescent="0.3">
      <c r="A139" s="307"/>
      <c r="B139" s="307"/>
      <c r="C139" s="307"/>
      <c r="H139" s="307"/>
      <c r="I139" s="307"/>
      <c r="J139" s="307"/>
      <c r="M139" s="307"/>
      <c r="N139" s="307"/>
      <c r="O139" s="307"/>
    </row>
    <row r="140" spans="1:16" x14ac:dyDescent="0.3">
      <c r="A140" s="209"/>
      <c r="B140" s="209"/>
      <c r="C140" s="209"/>
      <c r="H140" s="209"/>
      <c r="I140" s="209"/>
      <c r="J140" s="209"/>
      <c r="M140" s="1" t="s">
        <v>33</v>
      </c>
      <c r="N140" s="1"/>
      <c r="O140" s="1"/>
      <c r="P140" s="3"/>
    </row>
    <row r="141" spans="1:16" x14ac:dyDescent="0.3">
      <c r="A141" s="267" t="s">
        <v>13</v>
      </c>
      <c r="B141" s="267"/>
      <c r="C141" s="267"/>
      <c r="H141" s="30" t="s">
        <v>13</v>
      </c>
      <c r="M141" s="267" t="s">
        <v>13</v>
      </c>
      <c r="N141" s="267"/>
      <c r="O141" s="267"/>
      <c r="P141" s="267"/>
    </row>
  </sheetData>
  <mergeCells count="117">
    <mergeCell ref="A23:C23"/>
    <mergeCell ref="A24:C24"/>
    <mergeCell ref="A25:C25"/>
    <mergeCell ref="A27:C27"/>
    <mergeCell ref="A38:C38"/>
    <mergeCell ref="A41:C41"/>
    <mergeCell ref="A42:C42"/>
    <mergeCell ref="A52:C52"/>
    <mergeCell ref="A55:C55"/>
    <mergeCell ref="A28:C28"/>
    <mergeCell ref="A29:C29"/>
    <mergeCell ref="A30:C30"/>
    <mergeCell ref="A31:C31"/>
    <mergeCell ref="A32:C32"/>
    <mergeCell ref="A36:C36"/>
    <mergeCell ref="A44:C44"/>
    <mergeCell ref="A46:C46"/>
    <mergeCell ref="A48:C48"/>
    <mergeCell ref="A50:C50"/>
    <mergeCell ref="J13:N13"/>
    <mergeCell ref="O1:P1"/>
    <mergeCell ref="O2:P2"/>
    <mergeCell ref="E4:J4"/>
    <mergeCell ref="E5:J5"/>
    <mergeCell ref="C8:D8"/>
    <mergeCell ref="C9:D9"/>
    <mergeCell ref="A19:C19"/>
    <mergeCell ref="A21:C21"/>
    <mergeCell ref="O13:O14"/>
    <mergeCell ref="P13:P14"/>
    <mergeCell ref="A15:C15"/>
    <mergeCell ref="A16:C16"/>
    <mergeCell ref="A17:C17"/>
    <mergeCell ref="A18:C18"/>
    <mergeCell ref="C10:D10"/>
    <mergeCell ref="C11:D11"/>
    <mergeCell ref="A13:C14"/>
    <mergeCell ref="D13:D14"/>
    <mergeCell ref="E13:I13"/>
    <mergeCell ref="A66:C66"/>
    <mergeCell ref="A67:C67"/>
    <mergeCell ref="A69:C69"/>
    <mergeCell ref="A70:C70"/>
    <mergeCell ref="A56:C56"/>
    <mergeCell ref="A71:C71"/>
    <mergeCell ref="A72:C72"/>
    <mergeCell ref="A58:C58"/>
    <mergeCell ref="A60:C60"/>
    <mergeCell ref="A62:C62"/>
    <mergeCell ref="A63:C63"/>
    <mergeCell ref="A64:C64"/>
    <mergeCell ref="A65:C65"/>
    <mergeCell ref="A81:C81"/>
    <mergeCell ref="A73:C73"/>
    <mergeCell ref="A83:C83"/>
    <mergeCell ref="A85:C85"/>
    <mergeCell ref="A88:C88"/>
    <mergeCell ref="A89:C89"/>
    <mergeCell ref="A74:C74"/>
    <mergeCell ref="A75:C75"/>
    <mergeCell ref="A76:C76"/>
    <mergeCell ref="A77:C77"/>
    <mergeCell ref="A78:C78"/>
    <mergeCell ref="A79:C79"/>
    <mergeCell ref="A87:C87"/>
    <mergeCell ref="A96:C96"/>
    <mergeCell ref="A97:C97"/>
    <mergeCell ref="A98:C98"/>
    <mergeCell ref="A99:C99"/>
    <mergeCell ref="A100:C100"/>
    <mergeCell ref="A101:C101"/>
    <mergeCell ref="A90:C90"/>
    <mergeCell ref="A91:C91"/>
    <mergeCell ref="A92:C92"/>
    <mergeCell ref="A93:C93"/>
    <mergeCell ref="A94:C94"/>
    <mergeCell ref="A95:C95"/>
    <mergeCell ref="A108:C108"/>
    <mergeCell ref="A109:C109"/>
    <mergeCell ref="A111:C111"/>
    <mergeCell ref="A112:C112"/>
    <mergeCell ref="A113:C113"/>
    <mergeCell ref="A114:C114"/>
    <mergeCell ref="A102:C102"/>
    <mergeCell ref="A103:C103"/>
    <mergeCell ref="A104:C104"/>
    <mergeCell ref="A105:C105"/>
    <mergeCell ref="A106:C106"/>
    <mergeCell ref="A107:C107"/>
    <mergeCell ref="A140:C140"/>
    <mergeCell ref="H140:J140"/>
    <mergeCell ref="A141:C141"/>
    <mergeCell ref="M141:P141"/>
    <mergeCell ref="H137:J137"/>
    <mergeCell ref="M137:O137"/>
    <mergeCell ref="A138:C138"/>
    <mergeCell ref="H138:J138"/>
    <mergeCell ref="M138:O138"/>
    <mergeCell ref="A139:C139"/>
    <mergeCell ref="H139:J139"/>
    <mergeCell ref="M139:O139"/>
    <mergeCell ref="A122:C122"/>
    <mergeCell ref="A123:C123"/>
    <mergeCell ref="A130:C130"/>
    <mergeCell ref="A131:C131"/>
    <mergeCell ref="A136:C136"/>
    <mergeCell ref="A137:C137"/>
    <mergeCell ref="A116:C116"/>
    <mergeCell ref="A117:C117"/>
    <mergeCell ref="A118:C118"/>
    <mergeCell ref="A119:C119"/>
    <mergeCell ref="A120:C120"/>
    <mergeCell ref="A121:C121"/>
    <mergeCell ref="A132:C132"/>
    <mergeCell ref="A133:C133"/>
    <mergeCell ref="A134:C134"/>
    <mergeCell ref="A135:C13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0DC8-7CDF-4491-8502-72125BBEE9E0}">
  <sheetPr>
    <tabColor theme="7" tint="0.79998168889431442"/>
  </sheetPr>
  <dimension ref="A1:C16"/>
  <sheetViews>
    <sheetView workbookViewId="0">
      <selection activeCell="C17" sqref="C17"/>
    </sheetView>
  </sheetViews>
  <sheetFormatPr defaultRowHeight="14.5" x14ac:dyDescent="0.35"/>
  <cols>
    <col min="1" max="1" width="32.453125" customWidth="1"/>
    <col min="2" max="2" width="17.7265625" customWidth="1"/>
    <col min="3" max="3" width="15.90625" customWidth="1"/>
  </cols>
  <sheetData>
    <row r="1" spans="1:3" x14ac:dyDescent="0.35">
      <c r="A1" s="147" t="s">
        <v>193</v>
      </c>
    </row>
    <row r="3" spans="1:3" x14ac:dyDescent="0.35">
      <c r="A3" s="151" t="s">
        <v>128</v>
      </c>
      <c r="B3" s="150" t="s">
        <v>129</v>
      </c>
      <c r="C3" s="151" t="s">
        <v>149</v>
      </c>
    </row>
    <row r="4" spans="1:3" x14ac:dyDescent="0.35">
      <c r="A4" s="149" t="s">
        <v>130</v>
      </c>
      <c r="B4" s="153">
        <f>ADN!M79</f>
        <v>0</v>
      </c>
      <c r="C4" s="155">
        <f>ADN!M80</f>
        <v>0</v>
      </c>
    </row>
    <row r="5" spans="1:3" x14ac:dyDescent="0.35">
      <c r="A5" s="149" t="s">
        <v>131</v>
      </c>
      <c r="B5" s="153">
        <f>ADS!M79</f>
        <v>0</v>
      </c>
      <c r="C5" s="155">
        <f>ADS!M80</f>
        <v>0</v>
      </c>
    </row>
    <row r="6" spans="1:3" x14ac:dyDescent="0.35">
      <c r="A6" s="149" t="s">
        <v>132</v>
      </c>
      <c r="B6" s="153">
        <f>BAY!M79</f>
        <v>0</v>
      </c>
      <c r="C6" s="155">
        <f>BAY!M80</f>
        <v>0</v>
      </c>
    </row>
    <row r="7" spans="1:3" x14ac:dyDescent="0.35">
      <c r="A7" s="149" t="s">
        <v>133</v>
      </c>
      <c r="B7" s="153">
        <f>BIS!M79</f>
        <v>0</v>
      </c>
      <c r="C7" s="155">
        <f>BIS!M80</f>
        <v>0</v>
      </c>
    </row>
    <row r="8" spans="1:3" x14ac:dyDescent="0.35">
      <c r="A8" s="149" t="s">
        <v>134</v>
      </c>
      <c r="B8" s="153">
        <f>BUT!M79</f>
        <v>0</v>
      </c>
      <c r="C8" s="155">
        <f>BUT!M80</f>
        <v>0</v>
      </c>
    </row>
    <row r="9" spans="1:3" x14ac:dyDescent="0.35">
      <c r="A9" s="149" t="s">
        <v>135</v>
      </c>
      <c r="B9" s="153">
        <f>CBR!M79</f>
        <v>0</v>
      </c>
      <c r="C9" s="155">
        <f>CBR!M80</f>
        <v>0</v>
      </c>
    </row>
    <row r="10" spans="1:3" x14ac:dyDescent="0.35">
      <c r="A10" s="149" t="s">
        <v>136</v>
      </c>
      <c r="B10" s="153">
        <f>DIN!M79</f>
        <v>0</v>
      </c>
      <c r="C10" s="155">
        <f>DIN!M80</f>
        <v>0</v>
      </c>
    </row>
    <row r="11" spans="1:3" x14ac:dyDescent="0.35">
      <c r="A11" s="149" t="s">
        <v>137</v>
      </c>
      <c r="B11" s="153">
        <f>SIA!M79</f>
        <v>0</v>
      </c>
      <c r="C11" s="155">
        <f>SIA!M80</f>
        <v>0</v>
      </c>
    </row>
    <row r="12" spans="1:3" x14ac:dyDescent="0.35">
      <c r="A12" s="149" t="s">
        <v>138</v>
      </c>
      <c r="B12" s="153">
        <f>SC!M79</f>
        <v>0</v>
      </c>
      <c r="C12" s="155">
        <f>SC!M80</f>
        <v>0</v>
      </c>
    </row>
    <row r="13" spans="1:3" x14ac:dyDescent="0.35">
      <c r="A13" s="149" t="s">
        <v>139</v>
      </c>
      <c r="B13" s="153">
        <f>SDN!M79</f>
        <v>0</v>
      </c>
      <c r="C13" s="155">
        <f>SDN!M80</f>
        <v>0</v>
      </c>
    </row>
    <row r="14" spans="1:3" x14ac:dyDescent="0.35">
      <c r="A14" s="149" t="s">
        <v>140</v>
      </c>
      <c r="B14" s="153">
        <f>SDS!M79</f>
        <v>0</v>
      </c>
      <c r="C14" s="155">
        <f>SDS!M80</f>
        <v>0</v>
      </c>
    </row>
    <row r="15" spans="1:3" x14ac:dyDescent="0.35">
      <c r="A15" s="149" t="s">
        <v>141</v>
      </c>
      <c r="B15" s="153" t="e">
        <f>#REF!</f>
        <v>#REF!</v>
      </c>
      <c r="C15" s="155" t="e">
        <f>#REF!</f>
        <v>#REF!</v>
      </c>
    </row>
    <row r="16" spans="1:3" x14ac:dyDescent="0.35">
      <c r="A16" s="149" t="s">
        <v>142</v>
      </c>
      <c r="B16" s="153" t="e">
        <f>AVERAGE(B4:B15)</f>
        <v>#REF!</v>
      </c>
      <c r="C16" s="155" t="e">
        <f>SUM(C4:C15)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6AA6-B526-4261-8713-BC5D5AE50C6D}">
  <sheetPr>
    <tabColor theme="7" tint="0.79998168889431442"/>
  </sheetPr>
  <dimension ref="A1:C16"/>
  <sheetViews>
    <sheetView workbookViewId="0">
      <selection activeCell="C16" sqref="C16"/>
    </sheetView>
  </sheetViews>
  <sheetFormatPr defaultRowHeight="14.5" x14ac:dyDescent="0.35"/>
  <cols>
    <col min="1" max="1" width="32.453125" customWidth="1"/>
    <col min="2" max="2" width="17.7265625" customWidth="1"/>
    <col min="3" max="3" width="15.90625" customWidth="1"/>
  </cols>
  <sheetData>
    <row r="1" spans="1:3" x14ac:dyDescent="0.35">
      <c r="A1" s="147" t="s">
        <v>194</v>
      </c>
    </row>
    <row r="3" spans="1:3" x14ac:dyDescent="0.35">
      <c r="A3" s="151" t="s">
        <v>128</v>
      </c>
      <c r="B3" s="150" t="s">
        <v>129</v>
      </c>
      <c r="C3" s="151" t="s">
        <v>149</v>
      </c>
    </row>
    <row r="4" spans="1:3" x14ac:dyDescent="0.35">
      <c r="A4" s="149" t="s">
        <v>130</v>
      </c>
      <c r="B4" s="153">
        <f>ADN!M81</f>
        <v>0</v>
      </c>
      <c r="C4" s="155">
        <f>ADN!M82</f>
        <v>0</v>
      </c>
    </row>
    <row r="5" spans="1:3" x14ac:dyDescent="0.35">
      <c r="A5" s="149" t="s">
        <v>131</v>
      </c>
      <c r="B5" s="153">
        <f>ADS!M81</f>
        <v>0</v>
      </c>
      <c r="C5" s="155">
        <f>ADS!M82</f>
        <v>0</v>
      </c>
    </row>
    <row r="6" spans="1:3" x14ac:dyDescent="0.35">
      <c r="A6" s="149" t="s">
        <v>132</v>
      </c>
      <c r="B6" s="153">
        <f>BAY!M81</f>
        <v>0</v>
      </c>
      <c r="C6" s="155">
        <f>BAY!M82</f>
        <v>0</v>
      </c>
    </row>
    <row r="7" spans="1:3" x14ac:dyDescent="0.35">
      <c r="A7" s="149" t="s">
        <v>133</v>
      </c>
      <c r="B7" s="153">
        <f>BIS!M81</f>
        <v>0</v>
      </c>
      <c r="C7" s="155">
        <f>BIS!M82</f>
        <v>0</v>
      </c>
    </row>
    <row r="8" spans="1:3" x14ac:dyDescent="0.35">
      <c r="A8" s="149" t="s">
        <v>134</v>
      </c>
      <c r="B8" s="153">
        <f>BUT!M81</f>
        <v>0</v>
      </c>
      <c r="C8" s="155">
        <f>BUT!M82</f>
        <v>0</v>
      </c>
    </row>
    <row r="9" spans="1:3" x14ac:dyDescent="0.35">
      <c r="A9" s="149" t="s">
        <v>135</v>
      </c>
      <c r="B9" s="153">
        <f>CBR!M81</f>
        <v>0</v>
      </c>
      <c r="C9" s="155">
        <f>CBR!M82</f>
        <v>0</v>
      </c>
    </row>
    <row r="10" spans="1:3" x14ac:dyDescent="0.35">
      <c r="A10" s="149" t="s">
        <v>136</v>
      </c>
      <c r="B10" s="153">
        <f>DIN!M81</f>
        <v>0</v>
      </c>
      <c r="C10" s="155">
        <f>DIN!M82</f>
        <v>0</v>
      </c>
    </row>
    <row r="11" spans="1:3" x14ac:dyDescent="0.35">
      <c r="A11" s="149" t="s">
        <v>137</v>
      </c>
      <c r="B11" s="153">
        <f>SIA!M81</f>
        <v>0</v>
      </c>
      <c r="C11" s="155">
        <f>SIA!M82</f>
        <v>0</v>
      </c>
    </row>
    <row r="12" spans="1:3" x14ac:dyDescent="0.35">
      <c r="A12" s="149" t="s">
        <v>138</v>
      </c>
      <c r="B12" s="153">
        <f>SC!M81</f>
        <v>0</v>
      </c>
      <c r="C12" s="155">
        <f>SC!M82</f>
        <v>0</v>
      </c>
    </row>
    <row r="13" spans="1:3" x14ac:dyDescent="0.35">
      <c r="A13" s="149" t="s">
        <v>139</v>
      </c>
      <c r="B13" s="153">
        <f>SDN!M81</f>
        <v>0</v>
      </c>
      <c r="C13" s="155">
        <f>SDN!M82</f>
        <v>0</v>
      </c>
    </row>
    <row r="14" spans="1:3" x14ac:dyDescent="0.35">
      <c r="A14" s="149" t="s">
        <v>140</v>
      </c>
      <c r="B14" s="153">
        <f>SDS!M81</f>
        <v>0</v>
      </c>
      <c r="C14" s="155">
        <f>SDS!M82</f>
        <v>0</v>
      </c>
    </row>
    <row r="15" spans="1:3" x14ac:dyDescent="0.35">
      <c r="A15" s="149" t="s">
        <v>141</v>
      </c>
      <c r="B15" s="153" t="e">
        <f>#REF!</f>
        <v>#REF!</v>
      </c>
      <c r="C15" s="155" t="e">
        <f>#REF!</f>
        <v>#REF!</v>
      </c>
    </row>
    <row r="16" spans="1:3" x14ac:dyDescent="0.35">
      <c r="A16" s="149" t="s">
        <v>142</v>
      </c>
      <c r="B16" s="153" t="e">
        <f>AVERAGE(B4:B15)</f>
        <v>#REF!</v>
      </c>
      <c r="C16" s="155" t="e">
        <f>SUM(C4:C15)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BD1E-D1CD-4DC0-AA2B-AAD792FED703}">
  <sheetPr>
    <tabColor theme="7" tint="0.79998168889431442"/>
  </sheetPr>
  <dimension ref="A1:C16"/>
  <sheetViews>
    <sheetView workbookViewId="0">
      <selection activeCell="C16" sqref="C16"/>
    </sheetView>
  </sheetViews>
  <sheetFormatPr defaultRowHeight="14.5" x14ac:dyDescent="0.35"/>
  <cols>
    <col min="1" max="1" width="32.453125" customWidth="1"/>
    <col min="2" max="2" width="17.7265625" customWidth="1"/>
    <col min="3" max="3" width="15.90625" customWidth="1"/>
  </cols>
  <sheetData>
    <row r="1" spans="1:3" x14ac:dyDescent="0.35">
      <c r="A1" s="147" t="s">
        <v>195</v>
      </c>
    </row>
    <row r="3" spans="1:3" x14ac:dyDescent="0.35">
      <c r="A3" s="151" t="s">
        <v>128</v>
      </c>
      <c r="B3" s="150" t="s">
        <v>129</v>
      </c>
      <c r="C3" s="151" t="s">
        <v>149</v>
      </c>
    </row>
    <row r="4" spans="1:3" x14ac:dyDescent="0.35">
      <c r="A4" s="149" t="s">
        <v>130</v>
      </c>
      <c r="B4" s="153">
        <f>ADN!M83</f>
        <v>0</v>
      </c>
      <c r="C4" s="155">
        <f>ADN!M84</f>
        <v>0</v>
      </c>
    </row>
    <row r="5" spans="1:3" x14ac:dyDescent="0.35">
      <c r="A5" s="149" t="s">
        <v>131</v>
      </c>
      <c r="B5" s="153">
        <f>ADS!M83</f>
        <v>0</v>
      </c>
      <c r="C5" s="155">
        <f>ADS!M84</f>
        <v>0</v>
      </c>
    </row>
    <row r="6" spans="1:3" x14ac:dyDescent="0.35">
      <c r="A6" s="149" t="s">
        <v>132</v>
      </c>
      <c r="B6" s="153">
        <f>BAY!M83</f>
        <v>0</v>
      </c>
      <c r="C6" s="155">
        <f>BAY!M84</f>
        <v>0</v>
      </c>
    </row>
    <row r="7" spans="1:3" x14ac:dyDescent="0.35">
      <c r="A7" s="149" t="s">
        <v>133</v>
      </c>
      <c r="B7" s="153">
        <f>BIS!M83</f>
        <v>0</v>
      </c>
      <c r="C7" s="155">
        <f>BIS!M84</f>
        <v>0</v>
      </c>
    </row>
    <row r="8" spans="1:3" x14ac:dyDescent="0.35">
      <c r="A8" s="149" t="s">
        <v>134</v>
      </c>
      <c r="B8" s="153">
        <f>BUT!M83</f>
        <v>0</v>
      </c>
      <c r="C8" s="155">
        <f>BUT!M84</f>
        <v>0</v>
      </c>
    </row>
    <row r="9" spans="1:3" x14ac:dyDescent="0.35">
      <c r="A9" s="149" t="s">
        <v>135</v>
      </c>
      <c r="B9" s="153">
        <f>CBR!M83</f>
        <v>0</v>
      </c>
      <c r="C9" s="155">
        <f>CBR!M84</f>
        <v>0</v>
      </c>
    </row>
    <row r="10" spans="1:3" x14ac:dyDescent="0.35">
      <c r="A10" s="149" t="s">
        <v>136</v>
      </c>
      <c r="B10" s="153">
        <f>DIN!M83</f>
        <v>0</v>
      </c>
      <c r="C10" s="155">
        <f>DIN!M84</f>
        <v>0</v>
      </c>
    </row>
    <row r="11" spans="1:3" x14ac:dyDescent="0.35">
      <c r="A11" s="149" t="s">
        <v>137</v>
      </c>
      <c r="B11" s="153">
        <f>SIA!M83</f>
        <v>0</v>
      </c>
      <c r="C11" s="155">
        <f>SIA!M84</f>
        <v>0</v>
      </c>
    </row>
    <row r="12" spans="1:3" x14ac:dyDescent="0.35">
      <c r="A12" s="149" t="s">
        <v>138</v>
      </c>
      <c r="B12" s="153">
        <f>SC!M83</f>
        <v>0</v>
      </c>
      <c r="C12" s="155">
        <f>SC!M84</f>
        <v>0</v>
      </c>
    </row>
    <row r="13" spans="1:3" x14ac:dyDescent="0.35">
      <c r="A13" s="149" t="s">
        <v>139</v>
      </c>
      <c r="B13" s="153">
        <f>SDN!M83</f>
        <v>0</v>
      </c>
      <c r="C13" s="155">
        <f>SDN!M84</f>
        <v>0</v>
      </c>
    </row>
    <row r="14" spans="1:3" x14ac:dyDescent="0.35">
      <c r="A14" s="149" t="s">
        <v>140</v>
      </c>
      <c r="B14" s="153">
        <f>SDS!M83</f>
        <v>0</v>
      </c>
      <c r="C14" s="155">
        <f>SDS!M84</f>
        <v>0</v>
      </c>
    </row>
    <row r="15" spans="1:3" x14ac:dyDescent="0.35">
      <c r="A15" s="149" t="s">
        <v>141</v>
      </c>
      <c r="B15" s="153" t="e">
        <f>#REF!</f>
        <v>#REF!</v>
      </c>
      <c r="C15" s="155" t="e">
        <f>#REF!</f>
        <v>#REF!</v>
      </c>
    </row>
    <row r="16" spans="1:3" x14ac:dyDescent="0.35">
      <c r="A16" s="149" t="s">
        <v>142</v>
      </c>
      <c r="B16" s="153" t="e">
        <f>AVERAGE(B4:B15)</f>
        <v>#REF!</v>
      </c>
      <c r="C16" s="155" t="e">
        <f>SUM(C4:C15)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D9F1-6651-4818-9764-3BBF04389F87}">
  <sheetPr>
    <tabColor theme="7" tint="0.79998168889431442"/>
  </sheetPr>
  <dimension ref="A1:C16"/>
  <sheetViews>
    <sheetView workbookViewId="0">
      <selection activeCell="C4" sqref="C4"/>
    </sheetView>
  </sheetViews>
  <sheetFormatPr defaultRowHeight="14.5" x14ac:dyDescent="0.35"/>
  <cols>
    <col min="1" max="1" width="32.453125" customWidth="1"/>
    <col min="2" max="2" width="17.7265625" customWidth="1"/>
    <col min="3" max="3" width="15.90625" customWidth="1"/>
  </cols>
  <sheetData>
    <row r="1" spans="1:3" x14ac:dyDescent="0.35">
      <c r="A1" s="147" t="s">
        <v>196</v>
      </c>
    </row>
    <row r="3" spans="1:3" x14ac:dyDescent="0.35">
      <c r="A3" s="151" t="s">
        <v>128</v>
      </c>
      <c r="B3" s="150" t="s">
        <v>129</v>
      </c>
      <c r="C3" s="151" t="s">
        <v>149</v>
      </c>
    </row>
    <row r="4" spans="1:3" x14ac:dyDescent="0.35">
      <c r="A4" s="149" t="s">
        <v>130</v>
      </c>
      <c r="B4" s="153">
        <f>ADN!M85</f>
        <v>0</v>
      </c>
      <c r="C4" s="155">
        <f>ADN!M86</f>
        <v>0</v>
      </c>
    </row>
    <row r="5" spans="1:3" x14ac:dyDescent="0.35">
      <c r="A5" s="149" t="s">
        <v>131</v>
      </c>
      <c r="B5" s="153">
        <f>ADS!M85</f>
        <v>0</v>
      </c>
      <c r="C5" s="155">
        <f>ADS!M86</f>
        <v>0</v>
      </c>
    </row>
    <row r="6" spans="1:3" x14ac:dyDescent="0.35">
      <c r="A6" s="149" t="s">
        <v>132</v>
      </c>
      <c r="B6" s="153">
        <f>BAY!M85</f>
        <v>0</v>
      </c>
      <c r="C6" s="155">
        <f>BAY!M86</f>
        <v>0</v>
      </c>
    </row>
    <row r="7" spans="1:3" x14ac:dyDescent="0.35">
      <c r="A7" s="149" t="s">
        <v>133</v>
      </c>
      <c r="B7" s="153">
        <f>BIS!M85</f>
        <v>0</v>
      </c>
      <c r="C7" s="155">
        <f>BIS!M86</f>
        <v>0</v>
      </c>
    </row>
    <row r="8" spans="1:3" x14ac:dyDescent="0.35">
      <c r="A8" s="149" t="s">
        <v>134</v>
      </c>
      <c r="B8" s="153">
        <f>BUT!M85</f>
        <v>0</v>
      </c>
      <c r="C8" s="155">
        <f>BUT!M86</f>
        <v>0</v>
      </c>
    </row>
    <row r="9" spans="1:3" x14ac:dyDescent="0.35">
      <c r="A9" s="149" t="s">
        <v>135</v>
      </c>
      <c r="B9" s="153">
        <f>CBR!M85</f>
        <v>0</v>
      </c>
      <c r="C9" s="155">
        <f>CBR!M86</f>
        <v>0</v>
      </c>
    </row>
    <row r="10" spans="1:3" x14ac:dyDescent="0.35">
      <c r="A10" s="149" t="s">
        <v>136</v>
      </c>
      <c r="B10" s="153">
        <f>DIN!M85</f>
        <v>0</v>
      </c>
      <c r="C10" s="155">
        <f>DIN!M86</f>
        <v>0</v>
      </c>
    </row>
    <row r="11" spans="1:3" x14ac:dyDescent="0.35">
      <c r="A11" s="149" t="s">
        <v>137</v>
      </c>
      <c r="B11" s="153">
        <f>SIA!M85</f>
        <v>0</v>
      </c>
      <c r="C11" s="155">
        <f>SIA!M86</f>
        <v>0</v>
      </c>
    </row>
    <row r="12" spans="1:3" x14ac:dyDescent="0.35">
      <c r="A12" s="149" t="s">
        <v>138</v>
      </c>
      <c r="B12" s="153">
        <f>SC!M85</f>
        <v>0</v>
      </c>
      <c r="C12" s="155">
        <f>SC!M86</f>
        <v>0</v>
      </c>
    </row>
    <row r="13" spans="1:3" x14ac:dyDescent="0.35">
      <c r="A13" s="149" t="s">
        <v>139</v>
      </c>
      <c r="B13" s="153">
        <f>SDN!M85</f>
        <v>0</v>
      </c>
      <c r="C13" s="155">
        <f>SDN!M86</f>
        <v>0</v>
      </c>
    </row>
    <row r="14" spans="1:3" x14ac:dyDescent="0.35">
      <c r="A14" s="149" t="s">
        <v>140</v>
      </c>
      <c r="B14" s="153">
        <f>SDS!M85</f>
        <v>0</v>
      </c>
      <c r="C14" s="155">
        <f>SDS!M86</f>
        <v>0</v>
      </c>
    </row>
    <row r="15" spans="1:3" x14ac:dyDescent="0.35">
      <c r="A15" s="149" t="s">
        <v>141</v>
      </c>
      <c r="B15" s="153" t="e">
        <f>#REF!</f>
        <v>#REF!</v>
      </c>
      <c r="C15" s="155" t="e">
        <f>#REF!</f>
        <v>#REF!</v>
      </c>
    </row>
    <row r="16" spans="1:3" x14ac:dyDescent="0.35">
      <c r="A16" s="149" t="s">
        <v>142</v>
      </c>
      <c r="B16" s="153" t="e">
        <f>AVERAGE(B4:B15)</f>
        <v>#REF!</v>
      </c>
      <c r="C16" s="155" t="e">
        <f>SUM(C4:C15)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CAAA-71ED-44BE-AAD3-95BC639D6AA9}">
  <sheetPr>
    <tabColor theme="7" tint="0.79998168889431442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17.7265625" customWidth="1"/>
  </cols>
  <sheetData>
    <row r="1" spans="1:2" x14ac:dyDescent="0.35">
      <c r="A1" s="147" t="s">
        <v>197</v>
      </c>
    </row>
    <row r="3" spans="1:2" x14ac:dyDescent="0.35">
      <c r="A3" s="151" t="s">
        <v>128</v>
      </c>
      <c r="B3" s="150" t="s">
        <v>129</v>
      </c>
    </row>
    <row r="4" spans="1:2" x14ac:dyDescent="0.35">
      <c r="A4" s="149" t="s">
        <v>130</v>
      </c>
      <c r="B4" s="154">
        <f>ADN!M88</f>
        <v>0</v>
      </c>
    </row>
    <row r="5" spans="1:2" x14ac:dyDescent="0.35">
      <c r="A5" s="149" t="s">
        <v>131</v>
      </c>
      <c r="B5" s="154">
        <f>ADS!M88</f>
        <v>0</v>
      </c>
    </row>
    <row r="6" spans="1:2" x14ac:dyDescent="0.35">
      <c r="A6" s="149" t="s">
        <v>132</v>
      </c>
      <c r="B6" s="154">
        <f>BAY!M88</f>
        <v>0</v>
      </c>
    </row>
    <row r="7" spans="1:2" x14ac:dyDescent="0.35">
      <c r="A7" s="149" t="s">
        <v>133</v>
      </c>
      <c r="B7" s="154">
        <f>BIS!M88</f>
        <v>0</v>
      </c>
    </row>
    <row r="8" spans="1:2" x14ac:dyDescent="0.35">
      <c r="A8" s="149" t="s">
        <v>134</v>
      </c>
      <c r="B8" s="154">
        <f>BUT!M88</f>
        <v>0</v>
      </c>
    </row>
    <row r="9" spans="1:2" x14ac:dyDescent="0.35">
      <c r="A9" s="149" t="s">
        <v>135</v>
      </c>
      <c r="B9" s="154">
        <f>CBR!M88</f>
        <v>0</v>
      </c>
    </row>
    <row r="10" spans="1:2" x14ac:dyDescent="0.35">
      <c r="A10" s="149" t="s">
        <v>136</v>
      </c>
      <c r="B10" s="154">
        <f>DIN!M88</f>
        <v>0</v>
      </c>
    </row>
    <row r="11" spans="1:2" x14ac:dyDescent="0.35">
      <c r="A11" s="149" t="s">
        <v>137</v>
      </c>
      <c r="B11" s="154">
        <f>SIA!M88</f>
        <v>0</v>
      </c>
    </row>
    <row r="12" spans="1:2" x14ac:dyDescent="0.35">
      <c r="A12" s="149" t="s">
        <v>138</v>
      </c>
      <c r="B12" s="154">
        <f>SC!M88</f>
        <v>0</v>
      </c>
    </row>
    <row r="13" spans="1:2" x14ac:dyDescent="0.35">
      <c r="A13" s="149" t="s">
        <v>139</v>
      </c>
      <c r="B13" s="154">
        <f>SDN!M88</f>
        <v>0</v>
      </c>
    </row>
    <row r="14" spans="1:2" x14ac:dyDescent="0.35">
      <c r="A14" s="149" t="s">
        <v>140</v>
      </c>
      <c r="B14" s="154">
        <f>SDS!M88</f>
        <v>0</v>
      </c>
    </row>
    <row r="15" spans="1:2" x14ac:dyDescent="0.35">
      <c r="A15" s="149" t="s">
        <v>141</v>
      </c>
      <c r="B15" s="154" t="e">
        <f>#REF!</f>
        <v>#REF!</v>
      </c>
    </row>
    <row r="16" spans="1:2" x14ac:dyDescent="0.35">
      <c r="A16" s="149" t="s">
        <v>142</v>
      </c>
      <c r="B16" s="153" t="e">
        <f>AVERAGE(B4:B15)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725A-6276-4533-9FA9-450154248A83}">
  <sheetPr>
    <tabColor theme="7" tint="0.79998168889431442"/>
  </sheetPr>
  <dimension ref="A1:B16"/>
  <sheetViews>
    <sheetView workbookViewId="0">
      <selection activeCell="B17" sqref="B17"/>
    </sheetView>
  </sheetViews>
  <sheetFormatPr defaultRowHeight="14.5" x14ac:dyDescent="0.35"/>
  <cols>
    <col min="1" max="1" width="32.453125" customWidth="1"/>
    <col min="2" max="2" width="17.7265625" customWidth="1"/>
  </cols>
  <sheetData>
    <row r="1" spans="1:2" x14ac:dyDescent="0.35">
      <c r="A1" s="147" t="s">
        <v>198</v>
      </c>
    </row>
    <row r="3" spans="1:2" x14ac:dyDescent="0.35">
      <c r="A3" s="151" t="s">
        <v>128</v>
      </c>
      <c r="B3" s="150" t="s">
        <v>199</v>
      </c>
    </row>
    <row r="4" spans="1:2" x14ac:dyDescent="0.35">
      <c r="A4" s="149" t="s">
        <v>130</v>
      </c>
      <c r="B4" s="153">
        <f>ADN!L92</f>
        <v>0</v>
      </c>
    </row>
    <row r="5" spans="1:2" x14ac:dyDescent="0.35">
      <c r="A5" s="149" t="s">
        <v>131</v>
      </c>
      <c r="B5" s="153">
        <f>ADS!L92</f>
        <v>0</v>
      </c>
    </row>
    <row r="6" spans="1:2" x14ac:dyDescent="0.35">
      <c r="A6" s="149" t="s">
        <v>132</v>
      </c>
      <c r="B6" s="153">
        <f>BAY!L92</f>
        <v>0</v>
      </c>
    </row>
    <row r="7" spans="1:2" x14ac:dyDescent="0.35">
      <c r="A7" s="149" t="s">
        <v>133</v>
      </c>
      <c r="B7" s="153">
        <f>BIS!L92</f>
        <v>0</v>
      </c>
    </row>
    <row r="8" spans="1:2" x14ac:dyDescent="0.35">
      <c r="A8" s="149" t="s">
        <v>134</v>
      </c>
      <c r="B8" s="153">
        <f>BUT!L92</f>
        <v>0</v>
      </c>
    </row>
    <row r="9" spans="1:2" x14ac:dyDescent="0.35">
      <c r="A9" s="149" t="s">
        <v>135</v>
      </c>
      <c r="B9" s="153">
        <f>CBR!L92</f>
        <v>0</v>
      </c>
    </row>
    <row r="10" spans="1:2" x14ac:dyDescent="0.35">
      <c r="A10" s="149" t="s">
        <v>136</v>
      </c>
      <c r="B10" s="153">
        <f>DIN!L92</f>
        <v>0</v>
      </c>
    </row>
    <row r="11" spans="1:2" x14ac:dyDescent="0.35">
      <c r="A11" s="149" t="s">
        <v>137</v>
      </c>
      <c r="B11" s="153">
        <f>SIA!L92</f>
        <v>0</v>
      </c>
    </row>
    <row r="12" spans="1:2" x14ac:dyDescent="0.35">
      <c r="A12" s="149" t="s">
        <v>138</v>
      </c>
      <c r="B12" s="153">
        <f>SC!L92</f>
        <v>0</v>
      </c>
    </row>
    <row r="13" spans="1:2" x14ac:dyDescent="0.35">
      <c r="A13" s="149" t="s">
        <v>139</v>
      </c>
      <c r="B13" s="153">
        <f>SDN!L92</f>
        <v>0</v>
      </c>
    </row>
    <row r="14" spans="1:2" x14ac:dyDescent="0.35">
      <c r="A14" s="149" t="s">
        <v>140</v>
      </c>
      <c r="B14" s="153">
        <f>SDS!L92</f>
        <v>0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83C8-8964-46AA-A0A0-FB91BD08AFEB}">
  <sheetPr>
    <tabColor theme="7" tint="0.79998168889431442"/>
  </sheetPr>
  <dimension ref="A1:B16"/>
  <sheetViews>
    <sheetView workbookViewId="0">
      <selection activeCell="B9" sqref="B9"/>
    </sheetView>
  </sheetViews>
  <sheetFormatPr defaultRowHeight="14.5" x14ac:dyDescent="0.35"/>
  <cols>
    <col min="1" max="1" width="32.453125" customWidth="1"/>
    <col min="2" max="2" width="17.7265625" customWidth="1"/>
  </cols>
  <sheetData>
    <row r="1" spans="1:2" x14ac:dyDescent="0.35">
      <c r="A1" s="147" t="s">
        <v>200</v>
      </c>
    </row>
    <row r="3" spans="1:2" x14ac:dyDescent="0.35">
      <c r="A3" s="151" t="s">
        <v>128</v>
      </c>
      <c r="B3" s="150" t="s">
        <v>199</v>
      </c>
    </row>
    <row r="4" spans="1:2" x14ac:dyDescent="0.35">
      <c r="A4" s="149" t="s">
        <v>130</v>
      </c>
      <c r="B4" s="153">
        <f>ADN!L93</f>
        <v>0</v>
      </c>
    </row>
    <row r="5" spans="1:2" x14ac:dyDescent="0.35">
      <c r="A5" s="149" t="s">
        <v>131</v>
      </c>
      <c r="B5" s="153">
        <f>ADS!L93</f>
        <v>0</v>
      </c>
    </row>
    <row r="6" spans="1:2" x14ac:dyDescent="0.35">
      <c r="A6" s="149" t="s">
        <v>132</v>
      </c>
      <c r="B6" s="153">
        <f>BAY!L93</f>
        <v>0</v>
      </c>
    </row>
    <row r="7" spans="1:2" x14ac:dyDescent="0.35">
      <c r="A7" s="149" t="s">
        <v>133</v>
      </c>
      <c r="B7" s="153">
        <f>BIS!L93</f>
        <v>0</v>
      </c>
    </row>
    <row r="8" spans="1:2" x14ac:dyDescent="0.35">
      <c r="A8" s="149" t="s">
        <v>134</v>
      </c>
      <c r="B8" s="153">
        <f>BUT!L93</f>
        <v>0</v>
      </c>
    </row>
    <row r="9" spans="1:2" x14ac:dyDescent="0.35">
      <c r="A9" s="149" t="s">
        <v>135</v>
      </c>
      <c r="B9" s="153">
        <f>CBR!L93</f>
        <v>0</v>
      </c>
    </row>
    <row r="10" spans="1:2" x14ac:dyDescent="0.35">
      <c r="A10" s="149" t="s">
        <v>136</v>
      </c>
      <c r="B10" s="153">
        <f>DIN!L93</f>
        <v>0</v>
      </c>
    </row>
    <row r="11" spans="1:2" x14ac:dyDescent="0.35">
      <c r="A11" s="149" t="s">
        <v>137</v>
      </c>
      <c r="B11" s="153">
        <f>SIA!L93</f>
        <v>0</v>
      </c>
    </row>
    <row r="12" spans="1:2" x14ac:dyDescent="0.35">
      <c r="A12" s="149" t="s">
        <v>138</v>
      </c>
      <c r="B12" s="153">
        <f>SC!L93</f>
        <v>0</v>
      </c>
    </row>
    <row r="13" spans="1:2" x14ac:dyDescent="0.35">
      <c r="A13" s="149" t="s">
        <v>139</v>
      </c>
      <c r="B13" s="153">
        <f>SDN!L93</f>
        <v>0</v>
      </c>
    </row>
    <row r="14" spans="1:2" x14ac:dyDescent="0.35">
      <c r="A14" s="149" t="s">
        <v>140</v>
      </c>
      <c r="B14" s="153">
        <f>SDS!L93</f>
        <v>0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2BAE-9CEC-4369-A8C9-1C0E0FA8A15B}">
  <sheetPr>
    <tabColor theme="7" tint="0.79998168889431442"/>
  </sheetPr>
  <dimension ref="A1:B16"/>
  <sheetViews>
    <sheetView workbookViewId="0">
      <selection activeCell="B4" sqref="B4"/>
    </sheetView>
  </sheetViews>
  <sheetFormatPr defaultRowHeight="14.5" x14ac:dyDescent="0.35"/>
  <cols>
    <col min="1" max="1" width="32.453125" customWidth="1"/>
    <col min="2" max="2" width="17.7265625" customWidth="1"/>
  </cols>
  <sheetData>
    <row r="1" spans="1:2" x14ac:dyDescent="0.35">
      <c r="A1" s="147" t="s">
        <v>201</v>
      </c>
    </row>
    <row r="3" spans="1:2" x14ac:dyDescent="0.35">
      <c r="A3" s="151" t="s">
        <v>128</v>
      </c>
      <c r="B3" s="150" t="s">
        <v>199</v>
      </c>
    </row>
    <row r="4" spans="1:2" x14ac:dyDescent="0.35">
      <c r="A4" s="149" t="s">
        <v>130</v>
      </c>
      <c r="B4" s="153">
        <f>ADN!L94</f>
        <v>0</v>
      </c>
    </row>
    <row r="5" spans="1:2" x14ac:dyDescent="0.35">
      <c r="A5" s="149" t="s">
        <v>131</v>
      </c>
      <c r="B5" s="153">
        <f>ADS!L94</f>
        <v>0</v>
      </c>
    </row>
    <row r="6" spans="1:2" x14ac:dyDescent="0.35">
      <c r="A6" s="149" t="s">
        <v>132</v>
      </c>
      <c r="B6" s="153">
        <f>BAY!L94</f>
        <v>0</v>
      </c>
    </row>
    <row r="7" spans="1:2" x14ac:dyDescent="0.35">
      <c r="A7" s="149" t="s">
        <v>133</v>
      </c>
      <c r="B7" s="153">
        <f>BIS!L94</f>
        <v>0</v>
      </c>
    </row>
    <row r="8" spans="1:2" x14ac:dyDescent="0.35">
      <c r="A8" s="149" t="s">
        <v>134</v>
      </c>
      <c r="B8" s="153">
        <f>BUT!L94</f>
        <v>0</v>
      </c>
    </row>
    <row r="9" spans="1:2" x14ac:dyDescent="0.35">
      <c r="A9" s="149" t="s">
        <v>135</v>
      </c>
      <c r="B9" s="153">
        <f>CBR!L94</f>
        <v>0</v>
      </c>
    </row>
    <row r="10" spans="1:2" x14ac:dyDescent="0.35">
      <c r="A10" s="149" t="s">
        <v>136</v>
      </c>
      <c r="B10" s="153">
        <f>DIN!L94</f>
        <v>0</v>
      </c>
    </row>
    <row r="11" spans="1:2" x14ac:dyDescent="0.35">
      <c r="A11" s="149" t="s">
        <v>137</v>
      </c>
      <c r="B11" s="153">
        <f>SIA!L94</f>
        <v>0</v>
      </c>
    </row>
    <row r="12" spans="1:2" x14ac:dyDescent="0.35">
      <c r="A12" s="149" t="s">
        <v>138</v>
      </c>
      <c r="B12" s="153">
        <f>SC!L94</f>
        <v>0</v>
      </c>
    </row>
    <row r="13" spans="1:2" x14ac:dyDescent="0.35">
      <c r="A13" s="149" t="s">
        <v>139</v>
      </c>
      <c r="B13" s="153">
        <f>SDN!L94</f>
        <v>0</v>
      </c>
    </row>
    <row r="14" spans="1:2" x14ac:dyDescent="0.35">
      <c r="A14" s="149" t="s">
        <v>140</v>
      </c>
      <c r="B14" s="153">
        <f>SDS!L94</f>
        <v>0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3CBB-0ED5-49CC-851B-EE07F49F12AE}">
  <sheetPr>
    <tabColor theme="7" tint="0.79998168889431442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17.7265625" customWidth="1"/>
  </cols>
  <sheetData>
    <row r="1" spans="1:2" x14ac:dyDescent="0.35">
      <c r="A1" s="147" t="s">
        <v>202</v>
      </c>
    </row>
    <row r="3" spans="1:2" x14ac:dyDescent="0.35">
      <c r="A3" s="151" t="s">
        <v>128</v>
      </c>
      <c r="B3" s="150" t="s">
        <v>199</v>
      </c>
    </row>
    <row r="4" spans="1:2" x14ac:dyDescent="0.35">
      <c r="A4" s="149" t="s">
        <v>130</v>
      </c>
      <c r="B4" s="153">
        <f>ADN!L95</f>
        <v>0</v>
      </c>
    </row>
    <row r="5" spans="1:2" x14ac:dyDescent="0.35">
      <c r="A5" s="149" t="s">
        <v>131</v>
      </c>
      <c r="B5" s="153">
        <f>ADS!L95</f>
        <v>0</v>
      </c>
    </row>
    <row r="6" spans="1:2" x14ac:dyDescent="0.35">
      <c r="A6" s="149" t="s">
        <v>132</v>
      </c>
      <c r="B6" s="153">
        <f>BAY!L95</f>
        <v>0</v>
      </c>
    </row>
    <row r="7" spans="1:2" x14ac:dyDescent="0.35">
      <c r="A7" s="149" t="s">
        <v>133</v>
      </c>
      <c r="B7" s="153">
        <f>BIS!L95</f>
        <v>0</v>
      </c>
    </row>
    <row r="8" spans="1:2" x14ac:dyDescent="0.35">
      <c r="A8" s="149" t="s">
        <v>134</v>
      </c>
      <c r="B8" s="153">
        <f>BUT!L95</f>
        <v>0</v>
      </c>
    </row>
    <row r="9" spans="1:2" x14ac:dyDescent="0.35">
      <c r="A9" s="149" t="s">
        <v>135</v>
      </c>
      <c r="B9" s="153">
        <f>CBR!L95</f>
        <v>0</v>
      </c>
    </row>
    <row r="10" spans="1:2" x14ac:dyDescent="0.35">
      <c r="A10" s="149" t="s">
        <v>136</v>
      </c>
      <c r="B10" s="153">
        <f>DIN!L95</f>
        <v>0</v>
      </c>
    </row>
    <row r="11" spans="1:2" x14ac:dyDescent="0.35">
      <c r="A11" s="149" t="s">
        <v>137</v>
      </c>
      <c r="B11" s="153">
        <f>SIA!L95</f>
        <v>0</v>
      </c>
    </row>
    <row r="12" spans="1:2" x14ac:dyDescent="0.35">
      <c r="A12" s="149" t="s">
        <v>138</v>
      </c>
      <c r="B12" s="153">
        <f>SC!L95</f>
        <v>0</v>
      </c>
    </row>
    <row r="13" spans="1:2" x14ac:dyDescent="0.35">
      <c r="A13" s="149" t="s">
        <v>139</v>
      </c>
      <c r="B13" s="153">
        <f>SDN!L95</f>
        <v>0</v>
      </c>
    </row>
    <row r="14" spans="1:2" x14ac:dyDescent="0.35">
      <c r="A14" s="149" t="s">
        <v>140</v>
      </c>
      <c r="B14" s="153">
        <f>SDS!L95</f>
        <v>0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52C8-0A03-4F8F-9575-B6214B8696F7}">
  <sheetPr>
    <tabColor theme="7" tint="0.79998168889431442"/>
  </sheetPr>
  <dimension ref="A1:B16"/>
  <sheetViews>
    <sheetView workbookViewId="0">
      <selection activeCell="B17" sqref="B17"/>
    </sheetView>
  </sheetViews>
  <sheetFormatPr defaultRowHeight="14.5" x14ac:dyDescent="0.35"/>
  <cols>
    <col min="1" max="1" width="32.453125" customWidth="1"/>
    <col min="2" max="2" width="17.7265625" customWidth="1"/>
  </cols>
  <sheetData>
    <row r="1" spans="1:2" x14ac:dyDescent="0.35">
      <c r="A1" s="147" t="s">
        <v>203</v>
      </c>
    </row>
    <row r="3" spans="1:2" x14ac:dyDescent="0.35">
      <c r="A3" s="151" t="s">
        <v>128</v>
      </c>
      <c r="B3" s="150" t="s">
        <v>129</v>
      </c>
    </row>
    <row r="4" spans="1:2" x14ac:dyDescent="0.35">
      <c r="A4" s="149" t="s">
        <v>130</v>
      </c>
      <c r="B4" s="154">
        <f>ADN!L96</f>
        <v>0</v>
      </c>
    </row>
    <row r="5" spans="1:2" x14ac:dyDescent="0.35">
      <c r="A5" s="149" t="s">
        <v>131</v>
      </c>
      <c r="B5" s="154">
        <f>ADS!L96</f>
        <v>0</v>
      </c>
    </row>
    <row r="6" spans="1:2" x14ac:dyDescent="0.35">
      <c r="A6" s="149" t="s">
        <v>132</v>
      </c>
      <c r="B6" s="154">
        <f>BAY!L96</f>
        <v>0</v>
      </c>
    </row>
    <row r="7" spans="1:2" x14ac:dyDescent="0.35">
      <c r="A7" s="149" t="s">
        <v>133</v>
      </c>
      <c r="B7" s="154">
        <f>BIS!L96</f>
        <v>0</v>
      </c>
    </row>
    <row r="8" spans="1:2" x14ac:dyDescent="0.35">
      <c r="A8" s="149" t="s">
        <v>134</v>
      </c>
      <c r="B8" s="154">
        <f>BUT!L96</f>
        <v>0</v>
      </c>
    </row>
    <row r="9" spans="1:2" x14ac:dyDescent="0.35">
      <c r="A9" s="149" t="s">
        <v>135</v>
      </c>
      <c r="B9" s="154">
        <f>CBR!L96</f>
        <v>0</v>
      </c>
    </row>
    <row r="10" spans="1:2" x14ac:dyDescent="0.35">
      <c r="A10" s="149" t="s">
        <v>136</v>
      </c>
      <c r="B10" s="154">
        <f>DIN!L96</f>
        <v>0</v>
      </c>
    </row>
    <row r="11" spans="1:2" x14ac:dyDescent="0.35">
      <c r="A11" s="149" t="s">
        <v>137</v>
      </c>
      <c r="B11" s="154">
        <f>SIA!L96</f>
        <v>0</v>
      </c>
    </row>
    <row r="12" spans="1:2" x14ac:dyDescent="0.35">
      <c r="A12" s="149" t="s">
        <v>138</v>
      </c>
      <c r="B12" s="154">
        <f>SC!L96</f>
        <v>0</v>
      </c>
    </row>
    <row r="13" spans="1:2" x14ac:dyDescent="0.35">
      <c r="A13" s="149" t="s">
        <v>139</v>
      </c>
      <c r="B13" s="154">
        <f>SDN!L96</f>
        <v>0</v>
      </c>
    </row>
    <row r="14" spans="1:2" x14ac:dyDescent="0.35">
      <c r="A14" s="149" t="s">
        <v>140</v>
      </c>
      <c r="B14" s="154">
        <f>SDS!L96</f>
        <v>0</v>
      </c>
    </row>
    <row r="15" spans="1:2" x14ac:dyDescent="0.35">
      <c r="A15" s="149" t="s">
        <v>141</v>
      </c>
      <c r="B15" s="154" t="e">
        <f>#REF!</f>
        <v>#REF!</v>
      </c>
    </row>
    <row r="16" spans="1:2" x14ac:dyDescent="0.35">
      <c r="A16" s="149" t="s">
        <v>142</v>
      </c>
      <c r="B16" s="154" t="e">
        <f>AVERAGE(B4:B15)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5709-942D-4564-B22E-D24B5343146B}">
  <sheetPr>
    <tabColor theme="8" tint="0.79998168889431442"/>
  </sheetPr>
  <dimension ref="A1:B16"/>
  <sheetViews>
    <sheetView workbookViewId="0">
      <selection activeCell="B17" sqref="B17"/>
    </sheetView>
  </sheetViews>
  <sheetFormatPr defaultRowHeight="14.5" x14ac:dyDescent="0.35"/>
  <cols>
    <col min="1" max="1" width="32.453125" customWidth="1"/>
    <col min="2" max="2" width="21.90625" customWidth="1"/>
  </cols>
  <sheetData>
    <row r="1" spans="1:2" x14ac:dyDescent="0.35">
      <c r="A1" s="147" t="s">
        <v>179</v>
      </c>
    </row>
    <row r="3" spans="1:2" x14ac:dyDescent="0.35">
      <c r="A3" s="151" t="s">
        <v>128</v>
      </c>
      <c r="B3" s="150" t="s">
        <v>129</v>
      </c>
    </row>
    <row r="4" spans="1:2" x14ac:dyDescent="0.35">
      <c r="A4" s="149" t="s">
        <v>130</v>
      </c>
      <c r="B4" s="154">
        <f>ADN!M101</f>
        <v>0</v>
      </c>
    </row>
    <row r="5" spans="1:2" x14ac:dyDescent="0.35">
      <c r="A5" s="149" t="s">
        <v>131</v>
      </c>
      <c r="B5" s="154">
        <f>ADS!M101</f>
        <v>0</v>
      </c>
    </row>
    <row r="6" spans="1:2" x14ac:dyDescent="0.35">
      <c r="A6" s="149" t="s">
        <v>132</v>
      </c>
      <c r="B6" s="154">
        <f>BAY!M101</f>
        <v>0</v>
      </c>
    </row>
    <row r="7" spans="1:2" x14ac:dyDescent="0.35">
      <c r="A7" s="149" t="s">
        <v>133</v>
      </c>
      <c r="B7" s="154">
        <f>BIS!M101</f>
        <v>0</v>
      </c>
    </row>
    <row r="8" spans="1:2" x14ac:dyDescent="0.35">
      <c r="A8" s="149" t="s">
        <v>134</v>
      </c>
      <c r="B8" s="154">
        <f>BUT!M101</f>
        <v>0</v>
      </c>
    </row>
    <row r="9" spans="1:2" x14ac:dyDescent="0.35">
      <c r="A9" s="149" t="s">
        <v>135</v>
      </c>
      <c r="B9" s="154">
        <f>CBR!M101</f>
        <v>0</v>
      </c>
    </row>
    <row r="10" spans="1:2" x14ac:dyDescent="0.35">
      <c r="A10" s="149" t="s">
        <v>136</v>
      </c>
      <c r="B10" s="154">
        <f>DIN!M101</f>
        <v>0</v>
      </c>
    </row>
    <row r="11" spans="1:2" x14ac:dyDescent="0.35">
      <c r="A11" s="149" t="s">
        <v>137</v>
      </c>
      <c r="B11" s="154">
        <f>SIA!M101</f>
        <v>0</v>
      </c>
    </row>
    <row r="12" spans="1:2" x14ac:dyDescent="0.35">
      <c r="A12" s="149" t="s">
        <v>138</v>
      </c>
      <c r="B12" s="154">
        <f>SC!M101</f>
        <v>0</v>
      </c>
    </row>
    <row r="13" spans="1:2" x14ac:dyDescent="0.35">
      <c r="A13" s="149" t="s">
        <v>139</v>
      </c>
      <c r="B13" s="154">
        <f>SDN!M101</f>
        <v>0</v>
      </c>
    </row>
    <row r="14" spans="1:2" x14ac:dyDescent="0.35">
      <c r="A14" s="149" t="s">
        <v>140</v>
      </c>
      <c r="B14" s="154">
        <f>SDS!M101</f>
        <v>0</v>
      </c>
    </row>
    <row r="15" spans="1:2" x14ac:dyDescent="0.35">
      <c r="A15" s="149" t="s">
        <v>141</v>
      </c>
      <c r="B15" s="154" t="e">
        <f>#REF!</f>
        <v>#REF!</v>
      </c>
    </row>
    <row r="16" spans="1:2" x14ac:dyDescent="0.35">
      <c r="A16" s="149" t="s">
        <v>142</v>
      </c>
      <c r="B16" s="154" t="e">
        <f>AVERAGE(B4:B15)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D43E-E384-47D9-807D-42A39EC32E88}">
  <sheetPr>
    <tabColor theme="8" tint="0.79998168889431442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21.90625" customWidth="1"/>
  </cols>
  <sheetData>
    <row r="1" spans="1:2" x14ac:dyDescent="0.35">
      <c r="A1" s="147" t="s">
        <v>180</v>
      </c>
    </row>
    <row r="3" spans="1:2" x14ac:dyDescent="0.35">
      <c r="A3" s="151" t="s">
        <v>128</v>
      </c>
      <c r="B3" s="150" t="s">
        <v>129</v>
      </c>
    </row>
    <row r="4" spans="1:2" x14ac:dyDescent="0.35">
      <c r="A4" s="149" t="s">
        <v>130</v>
      </c>
      <c r="B4" s="154">
        <f>ADN!M102</f>
        <v>0</v>
      </c>
    </row>
    <row r="5" spans="1:2" x14ac:dyDescent="0.35">
      <c r="A5" s="149" t="s">
        <v>131</v>
      </c>
      <c r="B5" s="154">
        <f>ADS!M102</f>
        <v>0</v>
      </c>
    </row>
    <row r="6" spans="1:2" x14ac:dyDescent="0.35">
      <c r="A6" s="149" t="s">
        <v>132</v>
      </c>
      <c r="B6" s="154">
        <f>BAY!M102</f>
        <v>0</v>
      </c>
    </row>
    <row r="7" spans="1:2" x14ac:dyDescent="0.35">
      <c r="A7" s="149" t="s">
        <v>133</v>
      </c>
      <c r="B7" s="154">
        <f>BIS!M102</f>
        <v>0</v>
      </c>
    </row>
    <row r="8" spans="1:2" x14ac:dyDescent="0.35">
      <c r="A8" s="149" t="s">
        <v>134</v>
      </c>
      <c r="B8" s="154">
        <f>BUT!M102</f>
        <v>0</v>
      </c>
    </row>
    <row r="9" spans="1:2" x14ac:dyDescent="0.35">
      <c r="A9" s="149" t="s">
        <v>135</v>
      </c>
      <c r="B9" s="154">
        <f>CBR!M102</f>
        <v>0</v>
      </c>
    </row>
    <row r="10" spans="1:2" x14ac:dyDescent="0.35">
      <c r="A10" s="149" t="s">
        <v>136</v>
      </c>
      <c r="B10" s="154">
        <f>DIN!M102</f>
        <v>0</v>
      </c>
    </row>
    <row r="11" spans="1:2" x14ac:dyDescent="0.35">
      <c r="A11" s="149" t="s">
        <v>137</v>
      </c>
      <c r="B11" s="154">
        <f>SIA!M102</f>
        <v>0</v>
      </c>
    </row>
    <row r="12" spans="1:2" x14ac:dyDescent="0.35">
      <c r="A12" s="149" t="s">
        <v>138</v>
      </c>
      <c r="B12" s="154">
        <f>SC!M102</f>
        <v>0</v>
      </c>
    </row>
    <row r="13" spans="1:2" x14ac:dyDescent="0.35">
      <c r="A13" s="149" t="s">
        <v>139</v>
      </c>
      <c r="B13" s="154">
        <f>SDN!M102</f>
        <v>0</v>
      </c>
    </row>
    <row r="14" spans="1:2" x14ac:dyDescent="0.35">
      <c r="A14" s="149" t="s">
        <v>140</v>
      </c>
      <c r="B14" s="154">
        <f>SDS!M102</f>
        <v>0</v>
      </c>
    </row>
    <row r="15" spans="1:2" x14ac:dyDescent="0.35">
      <c r="A15" s="149" t="s">
        <v>141</v>
      </c>
      <c r="B15" s="154" t="e">
        <f>#REF!</f>
        <v>#REF!</v>
      </c>
    </row>
    <row r="16" spans="1:2" x14ac:dyDescent="0.35">
      <c r="A16" s="149" t="s">
        <v>142</v>
      </c>
      <c r="B16" s="154" t="e">
        <f>AVERAGE(B4:B15)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2B9F-D50C-4201-BFBE-55013F53A372}">
  <sheetPr>
    <tabColor theme="8" tint="0.79998168889431442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21.90625" customWidth="1"/>
  </cols>
  <sheetData>
    <row r="1" spans="1:2" x14ac:dyDescent="0.35">
      <c r="A1" s="147" t="s">
        <v>181</v>
      </c>
    </row>
    <row r="3" spans="1:2" x14ac:dyDescent="0.35">
      <c r="A3" s="151" t="s">
        <v>128</v>
      </c>
      <c r="B3" s="150" t="s">
        <v>129</v>
      </c>
    </row>
    <row r="4" spans="1:2" x14ac:dyDescent="0.35">
      <c r="A4" s="149" t="s">
        <v>130</v>
      </c>
      <c r="B4" s="154">
        <f>ADN!M104</f>
        <v>0</v>
      </c>
    </row>
    <row r="5" spans="1:2" x14ac:dyDescent="0.35">
      <c r="A5" s="149" t="s">
        <v>131</v>
      </c>
      <c r="B5" s="154">
        <f>ADS!M104</f>
        <v>0</v>
      </c>
    </row>
    <row r="6" spans="1:2" x14ac:dyDescent="0.35">
      <c r="A6" s="149" t="s">
        <v>132</v>
      </c>
      <c r="B6" s="154">
        <f>BAY!M104</f>
        <v>0</v>
      </c>
    </row>
    <row r="7" spans="1:2" x14ac:dyDescent="0.35">
      <c r="A7" s="149" t="s">
        <v>133</v>
      </c>
      <c r="B7" s="154">
        <f>BIS!M104</f>
        <v>0</v>
      </c>
    </row>
    <row r="8" spans="1:2" x14ac:dyDescent="0.35">
      <c r="A8" s="149" t="s">
        <v>134</v>
      </c>
      <c r="B8" s="154">
        <f>BUT!M104</f>
        <v>0</v>
      </c>
    </row>
    <row r="9" spans="1:2" x14ac:dyDescent="0.35">
      <c r="A9" s="149" t="s">
        <v>135</v>
      </c>
      <c r="B9" s="154">
        <f>CBR!M104</f>
        <v>0</v>
      </c>
    </row>
    <row r="10" spans="1:2" x14ac:dyDescent="0.35">
      <c r="A10" s="149" t="s">
        <v>136</v>
      </c>
      <c r="B10" s="154">
        <f>DIN!M104</f>
        <v>0</v>
      </c>
    </row>
    <row r="11" spans="1:2" x14ac:dyDescent="0.35">
      <c r="A11" s="149" t="s">
        <v>137</v>
      </c>
      <c r="B11" s="154">
        <f>SIA!M104</f>
        <v>0</v>
      </c>
    </row>
    <row r="12" spans="1:2" x14ac:dyDescent="0.35">
      <c r="A12" s="149" t="s">
        <v>138</v>
      </c>
      <c r="B12" s="154">
        <f>SC!M104</f>
        <v>0</v>
      </c>
    </row>
    <row r="13" spans="1:2" x14ac:dyDescent="0.35">
      <c r="A13" s="149" t="s">
        <v>139</v>
      </c>
      <c r="B13" s="154">
        <f>SDN!M104</f>
        <v>0</v>
      </c>
    </row>
    <row r="14" spans="1:2" x14ac:dyDescent="0.35">
      <c r="A14" s="149" t="s">
        <v>140</v>
      </c>
      <c r="B14" s="154">
        <f>SDS!M104</f>
        <v>0</v>
      </c>
    </row>
    <row r="15" spans="1:2" x14ac:dyDescent="0.35">
      <c r="A15" s="149" t="s">
        <v>141</v>
      </c>
      <c r="B15" s="154" t="e">
        <f>#REF!</f>
        <v>#REF!</v>
      </c>
    </row>
    <row r="16" spans="1:2" x14ac:dyDescent="0.35">
      <c r="A16" s="149" t="s">
        <v>142</v>
      </c>
      <c r="B16" s="154" t="e">
        <f>AVERAGE(B4:B15)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5034-0E65-430D-87B4-9581F2F76967}">
  <sheetPr>
    <tabColor theme="8" tint="0.79998168889431442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21.90625" customWidth="1"/>
  </cols>
  <sheetData>
    <row r="1" spans="1:2" x14ac:dyDescent="0.35">
      <c r="A1" s="147" t="s">
        <v>182</v>
      </c>
    </row>
    <row r="3" spans="1:2" x14ac:dyDescent="0.35">
      <c r="A3" s="151" t="s">
        <v>128</v>
      </c>
      <c r="B3" s="150" t="s">
        <v>129</v>
      </c>
    </row>
    <row r="4" spans="1:2" x14ac:dyDescent="0.35">
      <c r="A4" s="149" t="s">
        <v>130</v>
      </c>
      <c r="B4" s="154">
        <f>ADN!M105</f>
        <v>0</v>
      </c>
    </row>
    <row r="5" spans="1:2" x14ac:dyDescent="0.35">
      <c r="A5" s="149" t="s">
        <v>131</v>
      </c>
      <c r="B5" s="154">
        <f>ADS!M105</f>
        <v>0</v>
      </c>
    </row>
    <row r="6" spans="1:2" x14ac:dyDescent="0.35">
      <c r="A6" s="149" t="s">
        <v>132</v>
      </c>
      <c r="B6" s="154">
        <f>BAY!M105</f>
        <v>0</v>
      </c>
    </row>
    <row r="7" spans="1:2" x14ac:dyDescent="0.35">
      <c r="A7" s="149" t="s">
        <v>133</v>
      </c>
      <c r="B7" s="154">
        <f>BIS!M105</f>
        <v>0</v>
      </c>
    </row>
    <row r="8" spans="1:2" x14ac:dyDescent="0.35">
      <c r="A8" s="149" t="s">
        <v>134</v>
      </c>
      <c r="B8" s="154">
        <f>BUT!M105</f>
        <v>0</v>
      </c>
    </row>
    <row r="9" spans="1:2" x14ac:dyDescent="0.35">
      <c r="A9" s="149" t="s">
        <v>135</v>
      </c>
      <c r="B9" s="154">
        <f>CBR!M105</f>
        <v>0</v>
      </c>
    </row>
    <row r="10" spans="1:2" x14ac:dyDescent="0.35">
      <c r="A10" s="149" t="s">
        <v>136</v>
      </c>
      <c r="B10" s="154">
        <f>DIN!M105</f>
        <v>0</v>
      </c>
    </row>
    <row r="11" spans="1:2" x14ac:dyDescent="0.35">
      <c r="A11" s="149" t="s">
        <v>137</v>
      </c>
      <c r="B11" s="154">
        <f>SIA!M105</f>
        <v>0</v>
      </c>
    </row>
    <row r="12" spans="1:2" x14ac:dyDescent="0.35">
      <c r="A12" s="149" t="s">
        <v>138</v>
      </c>
      <c r="B12" s="154">
        <f>SC!M105</f>
        <v>0</v>
      </c>
    </row>
    <row r="13" spans="1:2" x14ac:dyDescent="0.35">
      <c r="A13" s="149" t="s">
        <v>139</v>
      </c>
      <c r="B13" s="154">
        <f>SDN!M105</f>
        <v>0</v>
      </c>
    </row>
    <row r="14" spans="1:2" x14ac:dyDescent="0.35">
      <c r="A14" s="149" t="s">
        <v>140</v>
      </c>
      <c r="B14" s="154">
        <f>SDS!M105</f>
        <v>0</v>
      </c>
    </row>
    <row r="15" spans="1:2" x14ac:dyDescent="0.35">
      <c r="A15" s="149" t="s">
        <v>141</v>
      </c>
      <c r="B15" s="154" t="e">
        <f>#REF!</f>
        <v>#REF!</v>
      </c>
    </row>
    <row r="16" spans="1:2" x14ac:dyDescent="0.35">
      <c r="A16" s="149" t="s">
        <v>142</v>
      </c>
      <c r="B16" s="154" t="e">
        <f>AVERAGE(B4:B15)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C49E-082B-4645-ABB7-97BDE2756066}">
  <sheetPr>
    <tabColor theme="8" tint="0.79998168889431442"/>
  </sheetPr>
  <dimension ref="A1:B16"/>
  <sheetViews>
    <sheetView workbookViewId="0">
      <selection activeCell="B4" sqref="B4:B16"/>
    </sheetView>
  </sheetViews>
  <sheetFormatPr defaultRowHeight="14.5" x14ac:dyDescent="0.35"/>
  <cols>
    <col min="1" max="1" width="32.453125" customWidth="1"/>
    <col min="2" max="2" width="21.90625" customWidth="1"/>
  </cols>
  <sheetData>
    <row r="1" spans="1:2" x14ac:dyDescent="0.35">
      <c r="A1" s="147" t="s">
        <v>183</v>
      </c>
    </row>
    <row r="3" spans="1:2" x14ac:dyDescent="0.35">
      <c r="A3" s="151" t="s">
        <v>128</v>
      </c>
      <c r="B3" s="150" t="s">
        <v>129</v>
      </c>
    </row>
    <row r="4" spans="1:2" x14ac:dyDescent="0.35">
      <c r="A4" s="149" t="s">
        <v>130</v>
      </c>
      <c r="B4" s="154" t="str">
        <f>ADN!J107</f>
        <v>-</v>
      </c>
    </row>
    <row r="5" spans="1:2" x14ac:dyDescent="0.35">
      <c r="A5" s="149" t="s">
        <v>131</v>
      </c>
      <c r="B5" s="154" t="str">
        <f>ADS!J107</f>
        <v>-</v>
      </c>
    </row>
    <row r="6" spans="1:2" x14ac:dyDescent="0.35">
      <c r="A6" s="149" t="s">
        <v>132</v>
      </c>
      <c r="B6" s="154" t="str">
        <f>BAY!J107</f>
        <v>NDA</v>
      </c>
    </row>
    <row r="7" spans="1:2" x14ac:dyDescent="0.35">
      <c r="A7" s="149" t="s">
        <v>133</v>
      </c>
      <c r="B7" s="154" t="str">
        <f>BIS!J107</f>
        <v>-</v>
      </c>
    </row>
    <row r="8" spans="1:2" x14ac:dyDescent="0.35">
      <c r="A8" s="149" t="s">
        <v>134</v>
      </c>
      <c r="B8" s="154" t="str">
        <f>BUT!J107</f>
        <v>-</v>
      </c>
    </row>
    <row r="9" spans="1:2" x14ac:dyDescent="0.35">
      <c r="A9" s="149" t="s">
        <v>135</v>
      </c>
      <c r="B9" s="154" t="str">
        <f>CBR!J107</f>
        <v>-</v>
      </c>
    </row>
    <row r="10" spans="1:2" x14ac:dyDescent="0.35">
      <c r="A10" s="149" t="s">
        <v>136</v>
      </c>
      <c r="B10" s="154" t="str">
        <f>DIN!J107</f>
        <v>-</v>
      </c>
    </row>
    <row r="11" spans="1:2" x14ac:dyDescent="0.35">
      <c r="A11" s="149" t="s">
        <v>137</v>
      </c>
      <c r="B11" s="154">
        <f>SIA!J107</f>
        <v>0.41120000000000001</v>
      </c>
    </row>
    <row r="12" spans="1:2" x14ac:dyDescent="0.35">
      <c r="A12" s="149" t="s">
        <v>138</v>
      </c>
      <c r="B12" s="154" t="str">
        <f>SC!J107</f>
        <v>-</v>
      </c>
    </row>
    <row r="13" spans="1:2" x14ac:dyDescent="0.35">
      <c r="A13" s="149" t="s">
        <v>139</v>
      </c>
      <c r="B13" s="154" t="str">
        <f>SDN!J107</f>
        <v>-</v>
      </c>
    </row>
    <row r="14" spans="1:2" x14ac:dyDescent="0.35">
      <c r="A14" s="149" t="s">
        <v>140</v>
      </c>
      <c r="B14" s="154">
        <f>SDS!J107</f>
        <v>0.19209999999999999</v>
      </c>
    </row>
    <row r="15" spans="1:2" x14ac:dyDescent="0.35">
      <c r="A15" s="149" t="s">
        <v>141</v>
      </c>
      <c r="B15" s="154" t="e">
        <f>#REF!</f>
        <v>#REF!</v>
      </c>
    </row>
    <row r="16" spans="1:2" x14ac:dyDescent="0.35">
      <c r="A16" s="149" t="s">
        <v>142</v>
      </c>
      <c r="B16" s="154" t="e">
        <f>AVERAGE(B4:B15)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D5AA-26B3-47F7-8028-B50CFA36AE73}">
  <sheetPr>
    <tabColor theme="8" tint="0.79998168889431442"/>
  </sheetPr>
  <dimension ref="A1:B16"/>
  <sheetViews>
    <sheetView workbookViewId="0">
      <selection activeCell="B4" sqref="B4:B16"/>
    </sheetView>
  </sheetViews>
  <sheetFormatPr defaultRowHeight="14.5" x14ac:dyDescent="0.35"/>
  <cols>
    <col min="1" max="1" width="32.453125" customWidth="1"/>
    <col min="2" max="2" width="21.90625" customWidth="1"/>
  </cols>
  <sheetData>
    <row r="1" spans="1:2" x14ac:dyDescent="0.35">
      <c r="A1" s="147" t="s">
        <v>184</v>
      </c>
    </row>
    <row r="3" spans="1:2" x14ac:dyDescent="0.35">
      <c r="A3" s="151" t="s">
        <v>128</v>
      </c>
      <c r="B3" s="150" t="s">
        <v>129</v>
      </c>
    </row>
    <row r="4" spans="1:2" x14ac:dyDescent="0.35">
      <c r="A4" s="149" t="s">
        <v>130</v>
      </c>
      <c r="B4" s="154" t="str">
        <f>ADN!J108</f>
        <v>-</v>
      </c>
    </row>
    <row r="5" spans="1:2" x14ac:dyDescent="0.35">
      <c r="A5" s="149" t="s">
        <v>131</v>
      </c>
      <c r="B5" s="154" t="str">
        <f>ADS!J108</f>
        <v>-</v>
      </c>
    </row>
    <row r="6" spans="1:2" x14ac:dyDescent="0.35">
      <c r="A6" s="149" t="s">
        <v>132</v>
      </c>
      <c r="B6" s="154" t="str">
        <f>BAY!J108</f>
        <v>NDA</v>
      </c>
    </row>
    <row r="7" spans="1:2" x14ac:dyDescent="0.35">
      <c r="A7" s="149" t="s">
        <v>133</v>
      </c>
      <c r="B7" s="154" t="str">
        <f>BIS!J108</f>
        <v>-</v>
      </c>
    </row>
    <row r="8" spans="1:2" x14ac:dyDescent="0.35">
      <c r="A8" s="149" t="s">
        <v>134</v>
      </c>
      <c r="B8" s="154" t="str">
        <f>BUT!J108</f>
        <v>-</v>
      </c>
    </row>
    <row r="9" spans="1:2" x14ac:dyDescent="0.35">
      <c r="A9" s="149" t="s">
        <v>135</v>
      </c>
      <c r="B9" s="154" t="str">
        <f>CBR!J108</f>
        <v>-</v>
      </c>
    </row>
    <row r="10" spans="1:2" x14ac:dyDescent="0.35">
      <c r="A10" s="149" t="s">
        <v>136</v>
      </c>
      <c r="B10" s="154" t="str">
        <f>DIN!J108</f>
        <v>-</v>
      </c>
    </row>
    <row r="11" spans="1:2" x14ac:dyDescent="0.35">
      <c r="A11" s="149" t="s">
        <v>137</v>
      </c>
      <c r="B11" s="154" t="str">
        <f>SIA!J108</f>
        <v>NDA</v>
      </c>
    </row>
    <row r="12" spans="1:2" x14ac:dyDescent="0.35">
      <c r="A12" s="149" t="s">
        <v>138</v>
      </c>
      <c r="B12" s="154" t="str">
        <f>SC!J108</f>
        <v>-</v>
      </c>
    </row>
    <row r="13" spans="1:2" x14ac:dyDescent="0.35">
      <c r="A13" s="149" t="s">
        <v>139</v>
      </c>
      <c r="B13" s="154" t="str">
        <f>SDN!J108</f>
        <v>-</v>
      </c>
    </row>
    <row r="14" spans="1:2" x14ac:dyDescent="0.35">
      <c r="A14" s="149" t="s">
        <v>140</v>
      </c>
      <c r="B14" s="154">
        <f>SDS!J108</f>
        <v>0.2462</v>
      </c>
    </row>
    <row r="15" spans="1:2" x14ac:dyDescent="0.35">
      <c r="A15" s="149" t="s">
        <v>141</v>
      </c>
      <c r="B15" s="154" t="e">
        <f>#REF!</f>
        <v>#REF!</v>
      </c>
    </row>
    <row r="16" spans="1:2" x14ac:dyDescent="0.35">
      <c r="A16" s="149" t="s">
        <v>142</v>
      </c>
      <c r="B16" s="154" t="e">
        <f>AVERAGE(B4:B15)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097D-925E-44CE-9A35-556BC187EEB8}">
  <sheetPr>
    <tabColor theme="8" tint="0.79998168889431442"/>
  </sheetPr>
  <dimension ref="A1:B16"/>
  <sheetViews>
    <sheetView workbookViewId="0">
      <selection activeCell="B4" sqref="B4:B16"/>
    </sheetView>
  </sheetViews>
  <sheetFormatPr defaultRowHeight="14.5" x14ac:dyDescent="0.35"/>
  <cols>
    <col min="1" max="1" width="32.453125" customWidth="1"/>
    <col min="2" max="2" width="21.90625" customWidth="1"/>
  </cols>
  <sheetData>
    <row r="1" spans="1:2" x14ac:dyDescent="0.35">
      <c r="A1" s="147" t="s">
        <v>185</v>
      </c>
    </row>
    <row r="3" spans="1:2" x14ac:dyDescent="0.35">
      <c r="A3" s="151" t="s">
        <v>128</v>
      </c>
      <c r="B3" s="150" t="s">
        <v>129</v>
      </c>
    </row>
    <row r="4" spans="1:2" x14ac:dyDescent="0.35">
      <c r="A4" s="149" t="s">
        <v>130</v>
      </c>
      <c r="B4" s="154" t="str">
        <f>ADN!J109</f>
        <v>-</v>
      </c>
    </row>
    <row r="5" spans="1:2" x14ac:dyDescent="0.35">
      <c r="A5" s="149" t="s">
        <v>131</v>
      </c>
      <c r="B5" s="154" t="str">
        <f>ADS!J109</f>
        <v>-</v>
      </c>
    </row>
    <row r="6" spans="1:2" x14ac:dyDescent="0.35">
      <c r="A6" s="149" t="s">
        <v>132</v>
      </c>
      <c r="B6" s="154" t="str">
        <f>BAY!J109</f>
        <v>NDA</v>
      </c>
    </row>
    <row r="7" spans="1:2" x14ac:dyDescent="0.35">
      <c r="A7" s="149" t="s">
        <v>133</v>
      </c>
      <c r="B7" s="154" t="str">
        <f>BIS!J109</f>
        <v>-</v>
      </c>
    </row>
    <row r="8" spans="1:2" x14ac:dyDescent="0.35">
      <c r="A8" s="149" t="s">
        <v>134</v>
      </c>
      <c r="B8" s="154" t="str">
        <f>BUT!J109</f>
        <v>-</v>
      </c>
    </row>
    <row r="9" spans="1:2" x14ac:dyDescent="0.35">
      <c r="A9" s="149" t="s">
        <v>135</v>
      </c>
      <c r="B9" s="154" t="str">
        <f>CBR!J109</f>
        <v>-</v>
      </c>
    </row>
    <row r="10" spans="1:2" x14ac:dyDescent="0.35">
      <c r="A10" s="149" t="s">
        <v>136</v>
      </c>
      <c r="B10" s="154" t="str">
        <f>DIN!J109</f>
        <v>-</v>
      </c>
    </row>
    <row r="11" spans="1:2" x14ac:dyDescent="0.35">
      <c r="A11" s="149" t="s">
        <v>137</v>
      </c>
      <c r="B11" s="154">
        <f>SIA!J109</f>
        <v>0.26269999999999999</v>
      </c>
    </row>
    <row r="12" spans="1:2" x14ac:dyDescent="0.35">
      <c r="A12" s="149" t="s">
        <v>138</v>
      </c>
      <c r="B12" s="154" t="str">
        <f>SC!J109</f>
        <v>-</v>
      </c>
    </row>
    <row r="13" spans="1:2" x14ac:dyDescent="0.35">
      <c r="A13" s="149" t="s">
        <v>139</v>
      </c>
      <c r="B13" s="154" t="str">
        <f>SDN!J109</f>
        <v>-</v>
      </c>
    </row>
    <row r="14" spans="1:2" x14ac:dyDescent="0.35">
      <c r="A14" s="149" t="s">
        <v>140</v>
      </c>
      <c r="B14" s="154">
        <f>SDS!J109</f>
        <v>0.43070000000000003</v>
      </c>
    </row>
    <row r="15" spans="1:2" x14ac:dyDescent="0.35">
      <c r="A15" s="149" t="s">
        <v>141</v>
      </c>
      <c r="B15" s="154" t="e">
        <f>#REF!</f>
        <v>#REF!</v>
      </c>
    </row>
    <row r="16" spans="1:2" x14ac:dyDescent="0.35">
      <c r="A16" s="149" t="s">
        <v>142</v>
      </c>
      <c r="B16" s="154" t="e">
        <f>AVERAGE(B4:B15)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EB52-008A-4F9A-9C0F-B3A0480219CC}">
  <sheetPr>
    <tabColor theme="8" tint="0.79998168889431442"/>
  </sheetPr>
  <dimension ref="A1:B16"/>
  <sheetViews>
    <sheetView workbookViewId="0">
      <selection activeCell="E11" sqref="E11"/>
    </sheetView>
  </sheetViews>
  <sheetFormatPr defaultRowHeight="14.5" x14ac:dyDescent="0.35"/>
  <cols>
    <col min="1" max="1" width="32.453125" customWidth="1"/>
    <col min="2" max="2" width="21.90625" customWidth="1"/>
  </cols>
  <sheetData>
    <row r="1" spans="1:2" x14ac:dyDescent="0.35">
      <c r="A1" s="147" t="s">
        <v>186</v>
      </c>
    </row>
    <row r="3" spans="1:2" x14ac:dyDescent="0.35">
      <c r="A3" s="151" t="s">
        <v>128</v>
      </c>
      <c r="B3" s="150" t="s">
        <v>187</v>
      </c>
    </row>
    <row r="4" spans="1:2" x14ac:dyDescent="0.35">
      <c r="A4" s="149" t="s">
        <v>130</v>
      </c>
      <c r="B4" s="153">
        <f>ADN!M113</f>
        <v>0</v>
      </c>
    </row>
    <row r="5" spans="1:2" x14ac:dyDescent="0.35">
      <c r="A5" s="149" t="s">
        <v>131</v>
      </c>
      <c r="B5" s="153">
        <f>ADS!M113</f>
        <v>0</v>
      </c>
    </row>
    <row r="6" spans="1:2" x14ac:dyDescent="0.35">
      <c r="A6" s="149" t="s">
        <v>132</v>
      </c>
      <c r="B6" s="153">
        <f>BAY!M113</f>
        <v>0</v>
      </c>
    </row>
    <row r="7" spans="1:2" x14ac:dyDescent="0.35">
      <c r="A7" s="149" t="s">
        <v>133</v>
      </c>
      <c r="B7" s="153">
        <f>BIS!M113</f>
        <v>0</v>
      </c>
    </row>
    <row r="8" spans="1:2" x14ac:dyDescent="0.35">
      <c r="A8" s="149" t="s">
        <v>134</v>
      </c>
      <c r="B8" s="153">
        <f>BUT!M113</f>
        <v>0</v>
      </c>
    </row>
    <row r="9" spans="1:2" x14ac:dyDescent="0.35">
      <c r="A9" s="149" t="s">
        <v>135</v>
      </c>
      <c r="B9" s="153">
        <f>CBR!M113</f>
        <v>0</v>
      </c>
    </row>
    <row r="10" spans="1:2" x14ac:dyDescent="0.35">
      <c r="A10" s="149" t="s">
        <v>136</v>
      </c>
      <c r="B10" s="153">
        <f>DIN!M113</f>
        <v>0</v>
      </c>
    </row>
    <row r="11" spans="1:2" x14ac:dyDescent="0.35">
      <c r="A11" s="149" t="s">
        <v>137</v>
      </c>
      <c r="B11" s="153">
        <f>SIA!M113</f>
        <v>0</v>
      </c>
    </row>
    <row r="12" spans="1:2" x14ac:dyDescent="0.35">
      <c r="A12" s="149" t="s">
        <v>138</v>
      </c>
      <c r="B12" s="153">
        <f>SC!M113</f>
        <v>0</v>
      </c>
    </row>
    <row r="13" spans="1:2" x14ac:dyDescent="0.35">
      <c r="A13" s="149" t="s">
        <v>139</v>
      </c>
      <c r="B13" s="153">
        <f>SDN!M113</f>
        <v>0</v>
      </c>
    </row>
    <row r="14" spans="1:2" x14ac:dyDescent="0.35">
      <c r="A14" s="149" t="s">
        <v>140</v>
      </c>
      <c r="B14" s="153">
        <f>SDS!M113</f>
        <v>0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7F80-2D03-44CE-9C8C-84840FC25791}">
  <sheetPr>
    <tabColor theme="8" tint="0.79998168889431442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21.90625" customWidth="1"/>
  </cols>
  <sheetData>
    <row r="1" spans="1:2" x14ac:dyDescent="0.35">
      <c r="A1" s="147" t="s">
        <v>188</v>
      </c>
    </row>
    <row r="3" spans="1:2" x14ac:dyDescent="0.35">
      <c r="A3" s="151" t="s">
        <v>128</v>
      </c>
      <c r="B3" s="150" t="s">
        <v>187</v>
      </c>
    </row>
    <row r="4" spans="1:2" x14ac:dyDescent="0.35">
      <c r="A4" s="149" t="s">
        <v>130</v>
      </c>
      <c r="B4" s="153">
        <f>ADN!M114</f>
        <v>0</v>
      </c>
    </row>
    <row r="5" spans="1:2" x14ac:dyDescent="0.35">
      <c r="A5" s="149" t="s">
        <v>131</v>
      </c>
      <c r="B5" s="153">
        <f>ADS!M114</f>
        <v>0</v>
      </c>
    </row>
    <row r="6" spans="1:2" x14ac:dyDescent="0.35">
      <c r="A6" s="149" t="s">
        <v>132</v>
      </c>
      <c r="B6" s="153">
        <f>BAY!M114</f>
        <v>0</v>
      </c>
    </row>
    <row r="7" spans="1:2" x14ac:dyDescent="0.35">
      <c r="A7" s="149" t="s">
        <v>133</v>
      </c>
      <c r="B7" s="153">
        <f>BIS!M114</f>
        <v>0</v>
      </c>
    </row>
    <row r="8" spans="1:2" x14ac:dyDescent="0.35">
      <c r="A8" s="149" t="s">
        <v>134</v>
      </c>
      <c r="B8" s="153">
        <f>BUT!M114</f>
        <v>0</v>
      </c>
    </row>
    <row r="9" spans="1:2" x14ac:dyDescent="0.35">
      <c r="A9" s="149" t="s">
        <v>135</v>
      </c>
      <c r="B9" s="153">
        <f>CBR!M114</f>
        <v>0</v>
      </c>
    </row>
    <row r="10" spans="1:2" x14ac:dyDescent="0.35">
      <c r="A10" s="149" t="s">
        <v>136</v>
      </c>
      <c r="B10" s="153">
        <f>DIN!M114</f>
        <v>0</v>
      </c>
    </row>
    <row r="11" spans="1:2" x14ac:dyDescent="0.35">
      <c r="A11" s="149" t="s">
        <v>137</v>
      </c>
      <c r="B11" s="153">
        <f>SIA!M114</f>
        <v>0</v>
      </c>
    </row>
    <row r="12" spans="1:2" x14ac:dyDescent="0.35">
      <c r="A12" s="149" t="s">
        <v>138</v>
      </c>
      <c r="B12" s="153">
        <f>SC!M114</f>
        <v>0</v>
      </c>
    </row>
    <row r="13" spans="1:2" x14ac:dyDescent="0.35">
      <c r="A13" s="149" t="s">
        <v>139</v>
      </c>
      <c r="B13" s="153">
        <f>SDN!M114</f>
        <v>0</v>
      </c>
    </row>
    <row r="14" spans="1:2" x14ac:dyDescent="0.35">
      <c r="A14" s="149" t="s">
        <v>140</v>
      </c>
      <c r="B14" s="153">
        <f>SDS!M114</f>
        <v>0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B13B-ED98-4434-84A4-3F907F2AA5CD}">
  <sheetPr>
    <tabColor theme="8" tint="0.79998168889431442"/>
  </sheetPr>
  <dimension ref="A1:B16"/>
  <sheetViews>
    <sheetView workbookViewId="0">
      <selection activeCell="B17" sqref="B17"/>
    </sheetView>
  </sheetViews>
  <sheetFormatPr defaultRowHeight="14.5" x14ac:dyDescent="0.35"/>
  <cols>
    <col min="1" max="1" width="32.453125" customWidth="1"/>
    <col min="2" max="2" width="21.90625" customWidth="1"/>
  </cols>
  <sheetData>
    <row r="1" spans="1:2" x14ac:dyDescent="0.35">
      <c r="A1" s="147" t="s">
        <v>189</v>
      </c>
    </row>
    <row r="3" spans="1:2" x14ac:dyDescent="0.35">
      <c r="A3" s="151" t="s">
        <v>128</v>
      </c>
      <c r="B3" s="150" t="s">
        <v>190</v>
      </c>
    </row>
    <row r="4" spans="1:2" x14ac:dyDescent="0.35">
      <c r="A4" s="149" t="s">
        <v>130</v>
      </c>
      <c r="B4" s="153">
        <f>ADN!M117</f>
        <v>0</v>
      </c>
    </row>
    <row r="5" spans="1:2" x14ac:dyDescent="0.35">
      <c r="A5" s="149" t="s">
        <v>131</v>
      </c>
      <c r="B5" s="153">
        <f>ADS!M117</f>
        <v>0</v>
      </c>
    </row>
    <row r="6" spans="1:2" x14ac:dyDescent="0.35">
      <c r="A6" s="149" t="s">
        <v>132</v>
      </c>
      <c r="B6" s="153">
        <f>BAY!M117</f>
        <v>0</v>
      </c>
    </row>
    <row r="7" spans="1:2" x14ac:dyDescent="0.35">
      <c r="A7" s="149" t="s">
        <v>133</v>
      </c>
      <c r="B7" s="153">
        <f>BIS!M117</f>
        <v>0</v>
      </c>
    </row>
    <row r="8" spans="1:2" x14ac:dyDescent="0.35">
      <c r="A8" s="149" t="s">
        <v>134</v>
      </c>
      <c r="B8" s="153">
        <f>BUT!M117</f>
        <v>0</v>
      </c>
    </row>
    <row r="9" spans="1:2" x14ac:dyDescent="0.35">
      <c r="A9" s="149" t="s">
        <v>135</v>
      </c>
      <c r="B9" s="153">
        <f>CBR!M117</f>
        <v>0</v>
      </c>
    </row>
    <row r="10" spans="1:2" x14ac:dyDescent="0.35">
      <c r="A10" s="149" t="s">
        <v>136</v>
      </c>
      <c r="B10" s="153">
        <f>DIN!M117</f>
        <v>0</v>
      </c>
    </row>
    <row r="11" spans="1:2" x14ac:dyDescent="0.35">
      <c r="A11" s="149" t="s">
        <v>137</v>
      </c>
      <c r="B11" s="153">
        <f>SIA!M117</f>
        <v>0</v>
      </c>
    </row>
    <row r="12" spans="1:2" x14ac:dyDescent="0.35">
      <c r="A12" s="149" t="s">
        <v>138</v>
      </c>
      <c r="B12" s="153">
        <f>SC!M117</f>
        <v>0</v>
      </c>
    </row>
    <row r="13" spans="1:2" x14ac:dyDescent="0.35">
      <c r="A13" s="149" t="s">
        <v>139</v>
      </c>
      <c r="B13" s="153">
        <f>SDN!M117</f>
        <v>0</v>
      </c>
    </row>
    <row r="14" spans="1:2" x14ac:dyDescent="0.35">
      <c r="A14" s="149" t="s">
        <v>140</v>
      </c>
      <c r="B14" s="153">
        <f>SDS!M117</f>
        <v>0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6196-4210-4B69-BE7A-48501E087F01}">
  <sheetPr>
    <tabColor theme="8" tint="0.79998168889431442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21.90625" customWidth="1"/>
  </cols>
  <sheetData>
    <row r="1" spans="1:2" x14ac:dyDescent="0.35">
      <c r="A1" s="147" t="s">
        <v>191</v>
      </c>
    </row>
    <row r="3" spans="1:2" x14ac:dyDescent="0.35">
      <c r="A3" s="151" t="s">
        <v>128</v>
      </c>
      <c r="B3" s="150" t="s">
        <v>190</v>
      </c>
    </row>
    <row r="4" spans="1:2" x14ac:dyDescent="0.35">
      <c r="A4" s="149" t="s">
        <v>130</v>
      </c>
      <c r="B4" s="153">
        <f>ADN!M118</f>
        <v>0</v>
      </c>
    </row>
    <row r="5" spans="1:2" x14ac:dyDescent="0.35">
      <c r="A5" s="149" t="s">
        <v>131</v>
      </c>
      <c r="B5" s="153">
        <f>ADS!M118</f>
        <v>0</v>
      </c>
    </row>
    <row r="6" spans="1:2" x14ac:dyDescent="0.35">
      <c r="A6" s="149" t="s">
        <v>132</v>
      </c>
      <c r="B6" s="153">
        <f>BAY!M118</f>
        <v>0</v>
      </c>
    </row>
    <row r="7" spans="1:2" x14ac:dyDescent="0.35">
      <c r="A7" s="149" t="s">
        <v>133</v>
      </c>
      <c r="B7" s="153">
        <f>BIS!M118</f>
        <v>0</v>
      </c>
    </row>
    <row r="8" spans="1:2" x14ac:dyDescent="0.35">
      <c r="A8" s="149" t="s">
        <v>134</v>
      </c>
      <c r="B8" s="153">
        <f>BUT!M118</f>
        <v>0</v>
      </c>
    </row>
    <row r="9" spans="1:2" x14ac:dyDescent="0.35">
      <c r="A9" s="149" t="s">
        <v>135</v>
      </c>
      <c r="B9" s="153">
        <f>CBR!M118</f>
        <v>0</v>
      </c>
    </row>
    <row r="10" spans="1:2" x14ac:dyDescent="0.35">
      <c r="A10" s="149" t="s">
        <v>136</v>
      </c>
      <c r="B10" s="153">
        <f>DIN!M118</f>
        <v>0</v>
      </c>
    </row>
    <row r="11" spans="1:2" x14ac:dyDescent="0.35">
      <c r="A11" s="149" t="s">
        <v>137</v>
      </c>
      <c r="B11" s="153">
        <f>SIA!M118</f>
        <v>0</v>
      </c>
    </row>
    <row r="12" spans="1:2" x14ac:dyDescent="0.35">
      <c r="A12" s="149" t="s">
        <v>138</v>
      </c>
      <c r="B12" s="153">
        <f>SC!M118</f>
        <v>0</v>
      </c>
    </row>
    <row r="13" spans="1:2" x14ac:dyDescent="0.35">
      <c r="A13" s="149" t="s">
        <v>139</v>
      </c>
      <c r="B13" s="153">
        <f>SDN!M118</f>
        <v>0</v>
      </c>
    </row>
    <row r="14" spans="1:2" x14ac:dyDescent="0.35">
      <c r="A14" s="149" t="s">
        <v>140</v>
      </c>
      <c r="B14" s="153">
        <f>SDS!M118</f>
        <v>0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0CCE-1C16-49BC-95B2-51DF1FB0C4F1}">
  <sheetPr>
    <tabColor theme="8" tint="0.79998168889431442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21.90625" customWidth="1"/>
  </cols>
  <sheetData>
    <row r="1" spans="1:2" x14ac:dyDescent="0.35">
      <c r="A1" s="147" t="s">
        <v>192</v>
      </c>
    </row>
    <row r="3" spans="1:2" x14ac:dyDescent="0.35">
      <c r="A3" s="151" t="s">
        <v>128</v>
      </c>
      <c r="B3" s="150" t="s">
        <v>190</v>
      </c>
    </row>
    <row r="4" spans="1:2" x14ac:dyDescent="0.35">
      <c r="A4" s="149" t="s">
        <v>130</v>
      </c>
      <c r="B4" s="153">
        <f>ADN!M119</f>
        <v>0</v>
      </c>
    </row>
    <row r="5" spans="1:2" x14ac:dyDescent="0.35">
      <c r="A5" s="149" t="s">
        <v>131</v>
      </c>
      <c r="B5" s="153">
        <f>ADS!M119</f>
        <v>0</v>
      </c>
    </row>
    <row r="6" spans="1:2" x14ac:dyDescent="0.35">
      <c r="A6" s="149" t="s">
        <v>132</v>
      </c>
      <c r="B6" s="153">
        <f>BAY!M119</f>
        <v>0</v>
      </c>
    </row>
    <row r="7" spans="1:2" x14ac:dyDescent="0.35">
      <c r="A7" s="149" t="s">
        <v>133</v>
      </c>
      <c r="B7" s="153">
        <f>BIS!M119</f>
        <v>0</v>
      </c>
    </row>
    <row r="8" spans="1:2" x14ac:dyDescent="0.35">
      <c r="A8" s="149" t="s">
        <v>134</v>
      </c>
      <c r="B8" s="153">
        <f>BUT!M119</f>
        <v>0</v>
      </c>
    </row>
    <row r="9" spans="1:2" x14ac:dyDescent="0.35">
      <c r="A9" s="149" t="s">
        <v>135</v>
      </c>
      <c r="B9" s="153">
        <f>CBR!M119</f>
        <v>0</v>
      </c>
    </row>
    <row r="10" spans="1:2" x14ac:dyDescent="0.35">
      <c r="A10" s="149" t="s">
        <v>136</v>
      </c>
      <c r="B10" s="153">
        <f>DIN!M119</f>
        <v>0</v>
      </c>
    </row>
    <row r="11" spans="1:2" x14ac:dyDescent="0.35">
      <c r="A11" s="149" t="s">
        <v>137</v>
      </c>
      <c r="B11" s="153">
        <f>SIA!M119</f>
        <v>0</v>
      </c>
    </row>
    <row r="12" spans="1:2" x14ac:dyDescent="0.35">
      <c r="A12" s="149" t="s">
        <v>138</v>
      </c>
      <c r="B12" s="153">
        <f>SC!M119</f>
        <v>0</v>
      </c>
    </row>
    <row r="13" spans="1:2" x14ac:dyDescent="0.35">
      <c r="A13" s="149" t="s">
        <v>139</v>
      </c>
      <c r="B13" s="153">
        <f>SDN!M119</f>
        <v>0</v>
      </c>
    </row>
    <row r="14" spans="1:2" x14ac:dyDescent="0.35">
      <c r="A14" s="149" t="s">
        <v>140</v>
      </c>
      <c r="B14" s="153">
        <f>SDS!M119</f>
        <v>0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69BE-B005-471B-A137-54DFD36810BE}">
  <sheetPr>
    <tabColor rgb="FFFF0000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14.453125" customWidth="1"/>
  </cols>
  <sheetData>
    <row r="1" spans="1:2" x14ac:dyDescent="0.35">
      <c r="A1" s="147" t="s">
        <v>172</v>
      </c>
    </row>
    <row r="3" spans="1:2" x14ac:dyDescent="0.35">
      <c r="A3" s="148" t="s">
        <v>128</v>
      </c>
      <c r="B3" s="148" t="s">
        <v>171</v>
      </c>
    </row>
    <row r="4" spans="1:2" x14ac:dyDescent="0.35">
      <c r="A4" s="149" t="s">
        <v>130</v>
      </c>
      <c r="B4" s="154" t="str">
        <f>ADN!J123</f>
        <v>-</v>
      </c>
    </row>
    <row r="5" spans="1:2" x14ac:dyDescent="0.35">
      <c r="A5" s="149" t="s">
        <v>131</v>
      </c>
      <c r="B5" s="154">
        <f>ADS!J123</f>
        <v>0.33110000000000001</v>
      </c>
    </row>
    <row r="6" spans="1:2" x14ac:dyDescent="0.35">
      <c r="A6" s="149" t="s">
        <v>132</v>
      </c>
      <c r="B6" s="154" t="str">
        <f>BAY!J123</f>
        <v>-</v>
      </c>
    </row>
    <row r="7" spans="1:2" x14ac:dyDescent="0.35">
      <c r="A7" s="149" t="s">
        <v>133</v>
      </c>
      <c r="B7" s="154">
        <f>BIS!J123</f>
        <v>0</v>
      </c>
    </row>
    <row r="8" spans="1:2" x14ac:dyDescent="0.35">
      <c r="A8" s="149" t="s">
        <v>134</v>
      </c>
      <c r="B8" s="154" t="str">
        <f>BUT!J123</f>
        <v>-</v>
      </c>
    </row>
    <row r="9" spans="1:2" x14ac:dyDescent="0.35">
      <c r="A9" s="149" t="s">
        <v>135</v>
      </c>
      <c r="B9" s="154" t="str">
        <f>CBR!J123</f>
        <v>-</v>
      </c>
    </row>
    <row r="10" spans="1:2" x14ac:dyDescent="0.35">
      <c r="A10" s="149" t="s">
        <v>136</v>
      </c>
      <c r="B10" s="154" t="str">
        <f>DIN!J123</f>
        <v>-</v>
      </c>
    </row>
    <row r="11" spans="1:2" x14ac:dyDescent="0.35">
      <c r="A11" s="149" t="s">
        <v>137</v>
      </c>
      <c r="B11" s="154">
        <f>SIA!J123</f>
        <v>0</v>
      </c>
    </row>
    <row r="12" spans="1:2" x14ac:dyDescent="0.35">
      <c r="A12" s="149" t="s">
        <v>138</v>
      </c>
      <c r="B12" s="154" t="str">
        <f>SC!J123</f>
        <v>-</v>
      </c>
    </row>
    <row r="13" spans="1:2" x14ac:dyDescent="0.35">
      <c r="A13" s="149" t="s">
        <v>139</v>
      </c>
      <c r="B13" s="154" t="str">
        <f>SDN!J123</f>
        <v>-</v>
      </c>
    </row>
    <row r="14" spans="1:2" x14ac:dyDescent="0.35">
      <c r="A14" s="149" t="s">
        <v>140</v>
      </c>
      <c r="B14" s="154" t="str">
        <f>SDS!J123</f>
        <v>-</v>
      </c>
    </row>
    <row r="15" spans="1:2" x14ac:dyDescent="0.35">
      <c r="A15" s="149" t="s">
        <v>141</v>
      </c>
      <c r="B15" s="154" t="e">
        <f>#REF!</f>
        <v>#REF!</v>
      </c>
    </row>
    <row r="16" spans="1:2" x14ac:dyDescent="0.35">
      <c r="A16" s="149" t="s">
        <v>142</v>
      </c>
      <c r="B16" s="153" t="e">
        <f>AVERAGE(B4:B15)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8D23-BF15-47D0-A7BE-45B666FA42C8}">
  <sheetPr>
    <tabColor rgb="FFFF0000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14.453125" customWidth="1"/>
  </cols>
  <sheetData>
    <row r="1" spans="1:2" x14ac:dyDescent="0.35">
      <c r="A1" s="147" t="s">
        <v>109</v>
      </c>
    </row>
    <row r="3" spans="1:2" x14ac:dyDescent="0.35">
      <c r="A3" s="148" t="s">
        <v>128</v>
      </c>
      <c r="B3" s="148" t="s">
        <v>129</v>
      </c>
    </row>
    <row r="4" spans="1:2" x14ac:dyDescent="0.35">
      <c r="A4" s="149" t="s">
        <v>130</v>
      </c>
      <c r="B4" s="154">
        <f>ADN!J124</f>
        <v>1</v>
      </c>
    </row>
    <row r="5" spans="1:2" x14ac:dyDescent="0.35">
      <c r="A5" s="149" t="s">
        <v>131</v>
      </c>
      <c r="B5" s="154" t="str">
        <f>ADS!J124</f>
        <v>-</v>
      </c>
    </row>
    <row r="6" spans="1:2" x14ac:dyDescent="0.35">
      <c r="A6" s="149" t="s">
        <v>132</v>
      </c>
      <c r="B6" s="154">
        <f>BAY!J124</f>
        <v>1</v>
      </c>
    </row>
    <row r="7" spans="1:2" x14ac:dyDescent="0.35">
      <c r="A7" s="149" t="s">
        <v>133</v>
      </c>
      <c r="B7" s="154">
        <f>BIS!J124</f>
        <v>1</v>
      </c>
    </row>
    <row r="8" spans="1:2" x14ac:dyDescent="0.35">
      <c r="A8" s="149" t="s">
        <v>134</v>
      </c>
      <c r="B8" s="154">
        <f>BUT!J124</f>
        <v>1</v>
      </c>
    </row>
    <row r="9" spans="1:2" x14ac:dyDescent="0.35">
      <c r="A9" s="149" t="s">
        <v>135</v>
      </c>
      <c r="B9" s="154">
        <f>CBR!J124</f>
        <v>1</v>
      </c>
    </row>
    <row r="10" spans="1:2" x14ac:dyDescent="0.35">
      <c r="A10" s="149" t="s">
        <v>136</v>
      </c>
      <c r="B10" s="154" t="str">
        <f>DIN!J124</f>
        <v>-</v>
      </c>
    </row>
    <row r="11" spans="1:2" x14ac:dyDescent="0.35">
      <c r="A11" s="149" t="s">
        <v>137</v>
      </c>
      <c r="B11" s="154">
        <f>SIA!J124</f>
        <v>1</v>
      </c>
    </row>
    <row r="12" spans="1:2" x14ac:dyDescent="0.35">
      <c r="A12" s="149" t="s">
        <v>138</v>
      </c>
      <c r="B12" s="154">
        <f>SC!J124</f>
        <v>1</v>
      </c>
    </row>
    <row r="13" spans="1:2" x14ac:dyDescent="0.35">
      <c r="A13" s="149" t="s">
        <v>139</v>
      </c>
      <c r="B13" s="154" t="str">
        <f>SDN!J124</f>
        <v>-</v>
      </c>
    </row>
    <row r="14" spans="1:2" x14ac:dyDescent="0.35">
      <c r="A14" s="149" t="s">
        <v>140</v>
      </c>
      <c r="B14" s="154" t="str">
        <f>SDS!J124</f>
        <v>-</v>
      </c>
    </row>
    <row r="15" spans="1:2" x14ac:dyDescent="0.35">
      <c r="A15" s="149" t="s">
        <v>141</v>
      </c>
      <c r="B15" s="154" t="e">
        <f>#REF!</f>
        <v>#REF!</v>
      </c>
    </row>
    <row r="16" spans="1:2" x14ac:dyDescent="0.35">
      <c r="A16" s="149" t="s">
        <v>142</v>
      </c>
      <c r="B16" s="163" t="e">
        <f>AVERAGE(B4:B15)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B121-1D21-4156-867B-97904725727D}">
  <sheetPr>
    <tabColor rgb="FFFF0000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14.453125" customWidth="1"/>
  </cols>
  <sheetData>
    <row r="1" spans="1:2" x14ac:dyDescent="0.35">
      <c r="A1" s="147" t="s">
        <v>110</v>
      </c>
    </row>
    <row r="3" spans="1:2" x14ac:dyDescent="0.35">
      <c r="A3" s="148" t="s">
        <v>128</v>
      </c>
      <c r="B3" s="148" t="s">
        <v>164</v>
      </c>
    </row>
    <row r="4" spans="1:2" x14ac:dyDescent="0.35">
      <c r="A4" s="149" t="s">
        <v>130</v>
      </c>
      <c r="B4" s="153">
        <f>ADN!J125</f>
        <v>215</v>
      </c>
    </row>
    <row r="5" spans="1:2" x14ac:dyDescent="0.35">
      <c r="A5" s="149" t="s">
        <v>131</v>
      </c>
      <c r="B5" s="153" t="str">
        <f>ADS!J125</f>
        <v>-</v>
      </c>
    </row>
    <row r="6" spans="1:2" x14ac:dyDescent="0.35">
      <c r="A6" s="149" t="s">
        <v>132</v>
      </c>
      <c r="B6" s="153">
        <f>BAY!J125</f>
        <v>85</v>
      </c>
    </row>
    <row r="7" spans="1:2" x14ac:dyDescent="0.35">
      <c r="A7" s="149" t="s">
        <v>133</v>
      </c>
      <c r="B7" s="153">
        <f>BIS!J125</f>
        <v>70</v>
      </c>
    </row>
    <row r="8" spans="1:2" x14ac:dyDescent="0.35">
      <c r="A8" s="149" t="s">
        <v>134</v>
      </c>
      <c r="B8" s="153">
        <f>BUT!J125</f>
        <v>193</v>
      </c>
    </row>
    <row r="9" spans="1:2" x14ac:dyDescent="0.35">
      <c r="A9" s="149" t="s">
        <v>135</v>
      </c>
      <c r="B9" s="153" t="str">
        <f>CBR!J125</f>
        <v>-</v>
      </c>
    </row>
    <row r="10" spans="1:2" x14ac:dyDescent="0.35">
      <c r="A10" s="149" t="s">
        <v>136</v>
      </c>
      <c r="B10" s="153">
        <f>DIN!J125</f>
        <v>142</v>
      </c>
    </row>
    <row r="11" spans="1:2" x14ac:dyDescent="0.35">
      <c r="A11" s="149" t="s">
        <v>137</v>
      </c>
      <c r="B11" s="153">
        <f>SIA!J125</f>
        <v>145</v>
      </c>
    </row>
    <row r="12" spans="1:2" x14ac:dyDescent="0.35">
      <c r="A12" s="149" t="s">
        <v>138</v>
      </c>
      <c r="B12" s="153">
        <f>SC!J125</f>
        <v>87</v>
      </c>
    </row>
    <row r="13" spans="1:2" x14ac:dyDescent="0.35">
      <c r="A13" s="149" t="s">
        <v>139</v>
      </c>
      <c r="B13" s="153" t="str">
        <f>SDN!J125</f>
        <v>-</v>
      </c>
    </row>
    <row r="14" spans="1:2" x14ac:dyDescent="0.35">
      <c r="A14" s="149" t="s">
        <v>140</v>
      </c>
      <c r="B14" s="153" t="str">
        <f>SDS!J125</f>
        <v>-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D4AD-06B7-454B-9262-72CC5C1ED355}">
  <sheetPr>
    <tabColor rgb="FFFF0000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14.453125" customWidth="1"/>
  </cols>
  <sheetData>
    <row r="1" spans="1:2" x14ac:dyDescent="0.35">
      <c r="A1" s="147" t="s">
        <v>173</v>
      </c>
    </row>
    <row r="3" spans="1:2" x14ac:dyDescent="0.35">
      <c r="A3" s="148" t="s">
        <v>128</v>
      </c>
      <c r="B3" s="148" t="s">
        <v>164</v>
      </c>
    </row>
    <row r="4" spans="1:2" x14ac:dyDescent="0.35">
      <c r="A4" s="149" t="s">
        <v>130</v>
      </c>
      <c r="B4" s="153">
        <f>ADN!J126</f>
        <v>166</v>
      </c>
    </row>
    <row r="5" spans="1:2" x14ac:dyDescent="0.35">
      <c r="A5" s="149" t="s">
        <v>131</v>
      </c>
      <c r="B5" s="153" t="str">
        <f>ADS!J126</f>
        <v>-</v>
      </c>
    </row>
    <row r="6" spans="1:2" x14ac:dyDescent="0.35">
      <c r="A6" s="149" t="s">
        <v>132</v>
      </c>
      <c r="B6" s="153">
        <f>BAY!J126</f>
        <v>57</v>
      </c>
    </row>
    <row r="7" spans="1:2" x14ac:dyDescent="0.35">
      <c r="A7" s="149" t="s">
        <v>133</v>
      </c>
      <c r="B7" s="153">
        <f>BIS!J126</f>
        <v>51</v>
      </c>
    </row>
    <row r="8" spans="1:2" x14ac:dyDescent="0.35">
      <c r="A8" s="149" t="s">
        <v>134</v>
      </c>
      <c r="B8" s="153">
        <f>BUT!J126</f>
        <v>106</v>
      </c>
    </row>
    <row r="9" spans="1:2" x14ac:dyDescent="0.35">
      <c r="A9" s="149" t="s">
        <v>135</v>
      </c>
      <c r="B9" s="153" t="str">
        <f>CBR!J126</f>
        <v>-</v>
      </c>
    </row>
    <row r="10" spans="1:2" x14ac:dyDescent="0.35">
      <c r="A10" s="149" t="s">
        <v>136</v>
      </c>
      <c r="B10" s="153">
        <f>DIN!J126</f>
        <v>107</v>
      </c>
    </row>
    <row r="11" spans="1:2" x14ac:dyDescent="0.35">
      <c r="A11" s="149" t="s">
        <v>137</v>
      </c>
      <c r="B11" s="153">
        <f>SIA!J126</f>
        <v>120</v>
      </c>
    </row>
    <row r="12" spans="1:2" x14ac:dyDescent="0.35">
      <c r="A12" s="149" t="s">
        <v>138</v>
      </c>
      <c r="B12" s="153" t="str">
        <f>SC!J126</f>
        <v>-</v>
      </c>
    </row>
    <row r="13" spans="1:2" x14ac:dyDescent="0.35">
      <c r="A13" s="149" t="s">
        <v>139</v>
      </c>
      <c r="B13" s="153" t="str">
        <f>SDN!J126</f>
        <v>-</v>
      </c>
    </row>
    <row r="14" spans="1:2" x14ac:dyDescent="0.35">
      <c r="A14" s="149" t="s">
        <v>140</v>
      </c>
      <c r="B14" s="153" t="str">
        <f>SDS!J126</f>
        <v>-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733B-A5BA-48B7-9FCA-E050C60CB768}">
  <sheetPr>
    <tabColor rgb="FFFF0000"/>
  </sheetPr>
  <dimension ref="A1:B16"/>
  <sheetViews>
    <sheetView workbookViewId="0">
      <selection activeCell="B17" sqref="B17"/>
    </sheetView>
  </sheetViews>
  <sheetFormatPr defaultRowHeight="14.5" x14ac:dyDescent="0.35"/>
  <cols>
    <col min="1" max="1" width="32.453125" customWidth="1"/>
    <col min="2" max="2" width="14.453125" customWidth="1"/>
  </cols>
  <sheetData>
    <row r="1" spans="1:2" x14ac:dyDescent="0.35">
      <c r="A1" s="147" t="s">
        <v>174</v>
      </c>
    </row>
    <row r="3" spans="1:2" x14ac:dyDescent="0.35">
      <c r="A3" s="148" t="s">
        <v>128</v>
      </c>
      <c r="B3" s="148" t="s">
        <v>164</v>
      </c>
    </row>
    <row r="4" spans="1:2" x14ac:dyDescent="0.35">
      <c r="A4" s="149" t="s">
        <v>130</v>
      </c>
      <c r="B4" s="153">
        <f>ADN!J127</f>
        <v>48</v>
      </c>
    </row>
    <row r="5" spans="1:2" x14ac:dyDescent="0.35">
      <c r="A5" s="149" t="s">
        <v>131</v>
      </c>
      <c r="B5" s="153" t="str">
        <f>ADS!J127</f>
        <v>-</v>
      </c>
    </row>
    <row r="6" spans="1:2" x14ac:dyDescent="0.35">
      <c r="A6" s="149" t="s">
        <v>132</v>
      </c>
      <c r="B6" s="153">
        <f>BAY!J127</f>
        <v>15</v>
      </c>
    </row>
    <row r="7" spans="1:2" x14ac:dyDescent="0.35">
      <c r="A7" s="149" t="s">
        <v>133</v>
      </c>
      <c r="B7" s="153">
        <f>BIS!J127</f>
        <v>19</v>
      </c>
    </row>
    <row r="8" spans="1:2" x14ac:dyDescent="0.35">
      <c r="A8" s="149" t="s">
        <v>134</v>
      </c>
      <c r="B8" s="153">
        <f>BUT!J127</f>
        <v>50</v>
      </c>
    </row>
    <row r="9" spans="1:2" x14ac:dyDescent="0.35">
      <c r="A9" s="149" t="s">
        <v>135</v>
      </c>
      <c r="B9" s="153" t="str">
        <f>CBR!J127</f>
        <v>-</v>
      </c>
    </row>
    <row r="10" spans="1:2" x14ac:dyDescent="0.35">
      <c r="A10" s="149" t="s">
        <v>136</v>
      </c>
      <c r="B10" s="153">
        <f>DIN!J127</f>
        <v>5</v>
      </c>
    </row>
    <row r="11" spans="1:2" x14ac:dyDescent="0.35">
      <c r="A11" s="149" t="s">
        <v>137</v>
      </c>
      <c r="B11" s="153">
        <f>SIA!J127</f>
        <v>25</v>
      </c>
    </row>
    <row r="12" spans="1:2" x14ac:dyDescent="0.35">
      <c r="A12" s="149" t="s">
        <v>138</v>
      </c>
      <c r="B12" s="153" t="str">
        <f>SC!J127</f>
        <v>-</v>
      </c>
    </row>
    <row r="13" spans="1:2" x14ac:dyDescent="0.35">
      <c r="A13" s="149" t="s">
        <v>139</v>
      </c>
      <c r="B13" s="153" t="str">
        <f>SDN!J127</f>
        <v>-</v>
      </c>
    </row>
    <row r="14" spans="1:2" x14ac:dyDescent="0.35">
      <c r="A14" s="149" t="s">
        <v>140</v>
      </c>
      <c r="B14" s="153" t="str">
        <f>SDS!J127</f>
        <v>-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54A1-57FE-459C-9B8D-4EEBBFF73226}">
  <sheetPr>
    <tabColor rgb="FFFF0000"/>
  </sheetPr>
  <dimension ref="A1:B16"/>
  <sheetViews>
    <sheetView workbookViewId="0">
      <selection activeCell="B16" sqref="B16"/>
    </sheetView>
  </sheetViews>
  <sheetFormatPr defaultRowHeight="14.5" x14ac:dyDescent="0.35"/>
  <cols>
    <col min="1" max="1" width="32.453125" customWidth="1"/>
    <col min="2" max="2" width="14.453125" customWidth="1"/>
  </cols>
  <sheetData>
    <row r="1" spans="1:2" x14ac:dyDescent="0.35">
      <c r="A1" s="147" t="s">
        <v>175</v>
      </c>
    </row>
    <row r="3" spans="1:2" x14ac:dyDescent="0.35">
      <c r="A3" s="148" t="s">
        <v>128</v>
      </c>
      <c r="B3" s="148" t="s">
        <v>164</v>
      </c>
    </row>
    <row r="4" spans="1:2" x14ac:dyDescent="0.35">
      <c r="A4" s="149" t="s">
        <v>130</v>
      </c>
      <c r="B4" s="153">
        <f>ADN!J128</f>
        <v>44</v>
      </c>
    </row>
    <row r="5" spans="1:2" x14ac:dyDescent="0.35">
      <c r="A5" s="149" t="s">
        <v>131</v>
      </c>
      <c r="B5" s="153" t="str">
        <f>ADS!J128</f>
        <v>-</v>
      </c>
    </row>
    <row r="6" spans="1:2" x14ac:dyDescent="0.35">
      <c r="A6" s="149" t="s">
        <v>132</v>
      </c>
      <c r="B6" s="153">
        <f>BAY!J128</f>
        <v>13</v>
      </c>
    </row>
    <row r="7" spans="1:2" x14ac:dyDescent="0.35">
      <c r="A7" s="149" t="s">
        <v>133</v>
      </c>
      <c r="B7" s="153">
        <f>BIS!J128</f>
        <v>14</v>
      </c>
    </row>
    <row r="8" spans="1:2" x14ac:dyDescent="0.35">
      <c r="A8" s="149" t="s">
        <v>134</v>
      </c>
      <c r="B8" s="153">
        <f>BUT!J128</f>
        <v>37</v>
      </c>
    </row>
    <row r="9" spans="1:2" x14ac:dyDescent="0.35">
      <c r="A9" s="149" t="s">
        <v>135</v>
      </c>
      <c r="B9" s="153" t="str">
        <f>CBR!J128</f>
        <v>-</v>
      </c>
    </row>
    <row r="10" spans="1:2" x14ac:dyDescent="0.35">
      <c r="A10" s="149" t="s">
        <v>136</v>
      </c>
      <c r="B10" s="153">
        <f>DIN!J128</f>
        <v>30</v>
      </c>
    </row>
    <row r="11" spans="1:2" x14ac:dyDescent="0.35">
      <c r="A11" s="149" t="s">
        <v>137</v>
      </c>
      <c r="B11" s="153">
        <f>SIA!J128</f>
        <v>23</v>
      </c>
    </row>
    <row r="12" spans="1:2" x14ac:dyDescent="0.35">
      <c r="A12" s="149" t="s">
        <v>138</v>
      </c>
      <c r="B12" s="153" t="str">
        <f>SC!J128</f>
        <v>-</v>
      </c>
    </row>
    <row r="13" spans="1:2" x14ac:dyDescent="0.35">
      <c r="A13" s="149" t="s">
        <v>139</v>
      </c>
      <c r="B13" s="153" t="str">
        <f>SDN!J128</f>
        <v>-</v>
      </c>
    </row>
    <row r="14" spans="1:2" x14ac:dyDescent="0.35">
      <c r="A14" s="149" t="s">
        <v>140</v>
      </c>
      <c r="B14" s="153" t="str">
        <f>SDS!J128</f>
        <v>-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F3C2-5725-4587-B513-9E26B50BC734}">
  <sheetPr>
    <tabColor rgb="FFFF0000"/>
  </sheetPr>
  <dimension ref="A1:B16"/>
  <sheetViews>
    <sheetView workbookViewId="0">
      <selection activeCell="B4" sqref="B4:B16"/>
    </sheetView>
  </sheetViews>
  <sheetFormatPr defaultRowHeight="14.5" x14ac:dyDescent="0.35"/>
  <cols>
    <col min="1" max="1" width="32.453125" customWidth="1"/>
    <col min="2" max="2" width="14.453125" customWidth="1"/>
  </cols>
  <sheetData>
    <row r="1" spans="1:2" x14ac:dyDescent="0.35">
      <c r="A1" s="147" t="s">
        <v>205</v>
      </c>
    </row>
    <row r="3" spans="1:2" ht="42.5" x14ac:dyDescent="0.35">
      <c r="A3" s="151" t="s">
        <v>128</v>
      </c>
      <c r="B3" s="150" t="s">
        <v>206</v>
      </c>
    </row>
    <row r="4" spans="1:2" x14ac:dyDescent="0.35">
      <c r="A4" s="149" t="s">
        <v>130</v>
      </c>
      <c r="B4" s="153">
        <f>ADN!J131</f>
        <v>289</v>
      </c>
    </row>
    <row r="5" spans="1:2" x14ac:dyDescent="0.35">
      <c r="A5" s="149" t="s">
        <v>131</v>
      </c>
      <c r="B5" s="153">
        <f>ADS!J131</f>
        <v>251</v>
      </c>
    </row>
    <row r="6" spans="1:2" x14ac:dyDescent="0.35">
      <c r="A6" s="149" t="s">
        <v>132</v>
      </c>
      <c r="B6" s="153">
        <f>BAY!J131</f>
        <v>308</v>
      </c>
    </row>
    <row r="7" spans="1:2" x14ac:dyDescent="0.35">
      <c r="A7" s="149" t="s">
        <v>133</v>
      </c>
      <c r="B7" s="153">
        <f>BIS!J131</f>
        <v>435</v>
      </c>
    </row>
    <row r="8" spans="1:2" x14ac:dyDescent="0.35">
      <c r="A8" s="149" t="s">
        <v>134</v>
      </c>
      <c r="B8" s="153">
        <f>BUT!J131</f>
        <v>205</v>
      </c>
    </row>
    <row r="9" spans="1:2" x14ac:dyDescent="0.35">
      <c r="A9" s="149" t="s">
        <v>135</v>
      </c>
      <c r="B9" s="153">
        <f>CBR!J131</f>
        <v>192</v>
      </c>
    </row>
    <row r="10" spans="1:2" x14ac:dyDescent="0.35">
      <c r="A10" s="149" t="s">
        <v>136</v>
      </c>
      <c r="B10" s="153">
        <f>DIN!J131</f>
        <v>179</v>
      </c>
    </row>
    <row r="11" spans="1:2" x14ac:dyDescent="0.35">
      <c r="A11" s="149" t="s">
        <v>137</v>
      </c>
      <c r="B11" s="153">
        <f>SIA!J131</f>
        <v>101</v>
      </c>
    </row>
    <row r="12" spans="1:2" x14ac:dyDescent="0.35">
      <c r="A12" s="149" t="s">
        <v>138</v>
      </c>
      <c r="B12" s="153">
        <f>SC!J131</f>
        <v>53</v>
      </c>
    </row>
    <row r="13" spans="1:2" x14ac:dyDescent="0.35">
      <c r="A13" s="149" t="s">
        <v>139</v>
      </c>
      <c r="B13" s="153">
        <f>SDN!J131</f>
        <v>480</v>
      </c>
    </row>
    <row r="14" spans="1:2" x14ac:dyDescent="0.35">
      <c r="A14" s="149" t="s">
        <v>140</v>
      </c>
      <c r="B14" s="153" t="str">
        <f>SDS!J131</f>
        <v>-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C8D7-0C7B-4F47-A26F-2926601F5861}">
  <sheetPr>
    <tabColor rgb="FFFF0000"/>
  </sheetPr>
  <dimension ref="A1:B16"/>
  <sheetViews>
    <sheetView workbookViewId="0">
      <selection activeCell="B4" sqref="B4:B16"/>
    </sheetView>
  </sheetViews>
  <sheetFormatPr defaultRowHeight="14.5" x14ac:dyDescent="0.35"/>
  <cols>
    <col min="1" max="1" width="32.453125" customWidth="1"/>
    <col min="2" max="2" width="14.453125" customWidth="1"/>
  </cols>
  <sheetData>
    <row r="1" spans="1:2" x14ac:dyDescent="0.35">
      <c r="A1" s="147" t="s">
        <v>176</v>
      </c>
    </row>
    <row r="3" spans="1:2" ht="42.5" x14ac:dyDescent="0.35">
      <c r="A3" s="151" t="s">
        <v>128</v>
      </c>
      <c r="B3" s="150" t="s">
        <v>176</v>
      </c>
    </row>
    <row r="4" spans="1:2" x14ac:dyDescent="0.35">
      <c r="A4" s="149" t="s">
        <v>130</v>
      </c>
      <c r="B4" s="153">
        <f>ADN!J132</f>
        <v>81</v>
      </c>
    </row>
    <row r="5" spans="1:2" x14ac:dyDescent="0.35">
      <c r="A5" s="149" t="s">
        <v>131</v>
      </c>
      <c r="B5" s="153">
        <f>ADS!J132</f>
        <v>251</v>
      </c>
    </row>
    <row r="6" spans="1:2" x14ac:dyDescent="0.35">
      <c r="A6" s="149" t="s">
        <v>132</v>
      </c>
      <c r="B6" s="153">
        <f>BAY!J132</f>
        <v>135</v>
      </c>
    </row>
    <row r="7" spans="1:2" x14ac:dyDescent="0.35">
      <c r="A7" s="149" t="s">
        <v>133</v>
      </c>
      <c r="B7" s="153">
        <f>BIS!J132</f>
        <v>347</v>
      </c>
    </row>
    <row r="8" spans="1:2" x14ac:dyDescent="0.35">
      <c r="A8" s="149" t="s">
        <v>134</v>
      </c>
      <c r="B8" s="153">
        <f>BUT!J132</f>
        <v>205</v>
      </c>
    </row>
    <row r="9" spans="1:2" x14ac:dyDescent="0.35">
      <c r="A9" s="149" t="s">
        <v>135</v>
      </c>
      <c r="B9" s="153">
        <f>CBR!J132</f>
        <v>192</v>
      </c>
    </row>
    <row r="10" spans="1:2" x14ac:dyDescent="0.35">
      <c r="A10" s="149" t="s">
        <v>136</v>
      </c>
      <c r="B10" s="153">
        <f>DIN!J132</f>
        <v>13</v>
      </c>
    </row>
    <row r="11" spans="1:2" x14ac:dyDescent="0.35">
      <c r="A11" s="149" t="s">
        <v>137</v>
      </c>
      <c r="B11" s="153">
        <f>SIA!J132</f>
        <v>101</v>
      </c>
    </row>
    <row r="12" spans="1:2" x14ac:dyDescent="0.35">
      <c r="A12" s="149" t="s">
        <v>138</v>
      </c>
      <c r="B12" s="153">
        <f>SC!J132</f>
        <v>10</v>
      </c>
    </row>
    <row r="13" spans="1:2" x14ac:dyDescent="0.35">
      <c r="A13" s="149" t="s">
        <v>139</v>
      </c>
      <c r="B13" s="153">
        <f>SDN!J132</f>
        <v>480</v>
      </c>
    </row>
    <row r="14" spans="1:2" x14ac:dyDescent="0.35">
      <c r="A14" s="149" t="s">
        <v>140</v>
      </c>
      <c r="B14" s="153" t="str">
        <f>SDS!J132</f>
        <v>-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F951-87DE-4A9C-ABA6-83EAB661DE7A}">
  <sheetPr>
    <tabColor rgb="FFFF0000"/>
  </sheetPr>
  <dimension ref="A1:B16"/>
  <sheetViews>
    <sheetView workbookViewId="0">
      <selection activeCell="B4" sqref="B4:B16"/>
    </sheetView>
  </sheetViews>
  <sheetFormatPr defaultRowHeight="14.5" x14ac:dyDescent="0.35"/>
  <cols>
    <col min="1" max="1" width="32.453125" customWidth="1"/>
    <col min="2" max="2" width="21.90625" customWidth="1"/>
  </cols>
  <sheetData>
    <row r="1" spans="1:2" x14ac:dyDescent="0.35">
      <c r="A1" s="147" t="s">
        <v>177</v>
      </c>
    </row>
    <row r="3" spans="1:2" ht="42.5" x14ac:dyDescent="0.35">
      <c r="A3" s="151" t="s">
        <v>128</v>
      </c>
      <c r="B3" s="150" t="s">
        <v>177</v>
      </c>
    </row>
    <row r="4" spans="1:2" x14ac:dyDescent="0.35">
      <c r="A4" s="149" t="s">
        <v>130</v>
      </c>
      <c r="B4" s="153">
        <f>ADN!J133</f>
        <v>208</v>
      </c>
    </row>
    <row r="5" spans="1:2" x14ac:dyDescent="0.35">
      <c r="A5" s="149" t="s">
        <v>131</v>
      </c>
      <c r="B5" s="153" t="str">
        <f>ADS!J133</f>
        <v>-</v>
      </c>
    </row>
    <row r="6" spans="1:2" x14ac:dyDescent="0.35">
      <c r="A6" s="149" t="s">
        <v>132</v>
      </c>
      <c r="B6" s="153">
        <f>BAY!J133</f>
        <v>173</v>
      </c>
    </row>
    <row r="7" spans="1:2" x14ac:dyDescent="0.35">
      <c r="A7" s="149" t="s">
        <v>133</v>
      </c>
      <c r="B7" s="153">
        <f>BIS!J133</f>
        <v>88</v>
      </c>
    </row>
    <row r="8" spans="1:2" x14ac:dyDescent="0.35">
      <c r="A8" s="149" t="s">
        <v>134</v>
      </c>
      <c r="B8" s="153">
        <f>BUT!J133</f>
        <v>0</v>
      </c>
    </row>
    <row r="9" spans="1:2" x14ac:dyDescent="0.35">
      <c r="A9" s="149" t="s">
        <v>135</v>
      </c>
      <c r="B9" s="153" t="str">
        <f>CBR!J133</f>
        <v>-</v>
      </c>
    </row>
    <row r="10" spans="1:2" x14ac:dyDescent="0.35">
      <c r="A10" s="149" t="s">
        <v>136</v>
      </c>
      <c r="B10" s="153">
        <f>DIN!J133</f>
        <v>166</v>
      </c>
    </row>
    <row r="11" spans="1:2" x14ac:dyDescent="0.35">
      <c r="A11" s="149" t="s">
        <v>137</v>
      </c>
      <c r="B11" s="153">
        <f>SIA!J133</f>
        <v>0</v>
      </c>
    </row>
    <row r="12" spans="1:2" x14ac:dyDescent="0.35">
      <c r="A12" s="149" t="s">
        <v>138</v>
      </c>
      <c r="B12" s="153">
        <f>SC!J133</f>
        <v>43</v>
      </c>
    </row>
    <row r="13" spans="1:2" x14ac:dyDescent="0.35">
      <c r="A13" s="149" t="s">
        <v>139</v>
      </c>
      <c r="B13" s="153" t="str">
        <f>SDN!J133</f>
        <v>-</v>
      </c>
    </row>
    <row r="14" spans="1:2" x14ac:dyDescent="0.35">
      <c r="A14" s="149" t="s">
        <v>140</v>
      </c>
      <c r="B14" s="153" t="str">
        <f>SDS!J133</f>
        <v>-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989B-5C52-4243-9138-C1338947A44A}">
  <sheetPr>
    <tabColor rgb="FFFF0000"/>
  </sheetPr>
  <dimension ref="A1:B16"/>
  <sheetViews>
    <sheetView workbookViewId="0">
      <selection activeCell="B4" sqref="B4:B16"/>
    </sheetView>
  </sheetViews>
  <sheetFormatPr defaultRowHeight="14.5" x14ac:dyDescent="0.35"/>
  <cols>
    <col min="1" max="1" width="32.453125" customWidth="1"/>
    <col min="2" max="2" width="21.90625" customWidth="1"/>
  </cols>
  <sheetData>
    <row r="1" spans="1:2" x14ac:dyDescent="0.35">
      <c r="A1" s="147" t="s">
        <v>178</v>
      </c>
    </row>
    <row r="3" spans="1:2" ht="42.5" x14ac:dyDescent="0.35">
      <c r="A3" s="151" t="s">
        <v>128</v>
      </c>
      <c r="B3" s="150" t="s">
        <v>178</v>
      </c>
    </row>
    <row r="4" spans="1:2" x14ac:dyDescent="0.35">
      <c r="A4" s="149" t="s">
        <v>130</v>
      </c>
      <c r="B4" s="153">
        <f>ADN!J134</f>
        <v>145</v>
      </c>
    </row>
    <row r="5" spans="1:2" x14ac:dyDescent="0.35">
      <c r="A5" s="149" t="s">
        <v>131</v>
      </c>
      <c r="B5" s="153" t="str">
        <f>ADS!J134</f>
        <v>-</v>
      </c>
    </row>
    <row r="6" spans="1:2" x14ac:dyDescent="0.35">
      <c r="A6" s="149" t="s">
        <v>132</v>
      </c>
      <c r="B6" s="153">
        <f>BAY!J134</f>
        <v>228</v>
      </c>
    </row>
    <row r="7" spans="1:2" x14ac:dyDescent="0.35">
      <c r="A7" s="149" t="s">
        <v>133</v>
      </c>
      <c r="B7" s="153">
        <f>BIS!J134</f>
        <v>55</v>
      </c>
    </row>
    <row r="8" spans="1:2" x14ac:dyDescent="0.35">
      <c r="A8" s="149" t="s">
        <v>134</v>
      </c>
      <c r="B8" s="153">
        <f>BUT!J134</f>
        <v>13</v>
      </c>
    </row>
    <row r="9" spans="1:2" x14ac:dyDescent="0.35">
      <c r="A9" s="149" t="s">
        <v>135</v>
      </c>
      <c r="B9" s="153" t="str">
        <f>CBR!J134</f>
        <v>-</v>
      </c>
    </row>
    <row r="10" spans="1:2" x14ac:dyDescent="0.35">
      <c r="A10" s="149" t="s">
        <v>136</v>
      </c>
      <c r="B10" s="153">
        <f>DIN!J134</f>
        <v>128</v>
      </c>
    </row>
    <row r="11" spans="1:2" x14ac:dyDescent="0.35">
      <c r="A11" s="149" t="s">
        <v>137</v>
      </c>
      <c r="B11" s="153">
        <f>SIA!J134</f>
        <v>54</v>
      </c>
    </row>
    <row r="12" spans="1:2" x14ac:dyDescent="0.35">
      <c r="A12" s="149" t="s">
        <v>138</v>
      </c>
      <c r="B12" s="153">
        <f>SC!J134</f>
        <v>94</v>
      </c>
    </row>
    <row r="13" spans="1:2" x14ac:dyDescent="0.35">
      <c r="A13" s="149" t="s">
        <v>139</v>
      </c>
      <c r="B13" s="153" t="str">
        <f>SDN!J134</f>
        <v>-</v>
      </c>
    </row>
    <row r="14" spans="1:2" x14ac:dyDescent="0.35">
      <c r="A14" s="149" t="s">
        <v>140</v>
      </c>
      <c r="B14" s="153" t="str">
        <f>SDS!J134</f>
        <v>-</v>
      </c>
    </row>
    <row r="15" spans="1:2" x14ac:dyDescent="0.35">
      <c r="A15" s="149" t="s">
        <v>141</v>
      </c>
      <c r="B15" s="153" t="e">
        <f>#REF!</f>
        <v>#REF!</v>
      </c>
    </row>
    <row r="16" spans="1:2" x14ac:dyDescent="0.35">
      <c r="A16" s="149" t="s">
        <v>142</v>
      </c>
      <c r="B16" s="153" t="e">
        <f>SUM(B4:B15)</f>
        <v>#REF!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56AB-33C0-46B9-93F0-7303DCE00374}">
  <dimension ref="A1:P141"/>
  <sheetViews>
    <sheetView topLeftCell="F56" zoomScale="92" zoomScaleNormal="90" workbookViewId="0">
      <selection activeCell="P66" sqref="P66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117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ht="13.5" thickBot="1" x14ac:dyDescent="0.35">
      <c r="A15" s="272">
        <v>1</v>
      </c>
      <c r="B15" s="272"/>
      <c r="C15" s="272"/>
      <c r="D15" s="6">
        <v>2</v>
      </c>
      <c r="E15" s="6">
        <v>3</v>
      </c>
      <c r="F15" s="6">
        <v>4</v>
      </c>
      <c r="G15" s="6">
        <v>5</v>
      </c>
      <c r="H15" s="7">
        <v>6</v>
      </c>
      <c r="I15" s="6" t="s">
        <v>21</v>
      </c>
      <c r="J15" s="6">
        <v>8</v>
      </c>
      <c r="K15" s="6">
        <v>9</v>
      </c>
      <c r="L15" s="6">
        <v>10</v>
      </c>
      <c r="M15" s="6">
        <v>11</v>
      </c>
      <c r="N15" s="6" t="s">
        <v>22</v>
      </c>
      <c r="O15" s="6">
        <v>13</v>
      </c>
      <c r="P15" s="6">
        <v>14</v>
      </c>
    </row>
    <row r="16" spans="1:16" ht="40.25" customHeight="1" x14ac:dyDescent="0.3">
      <c r="A16" s="285" t="s">
        <v>36</v>
      </c>
      <c r="B16" s="286"/>
      <c r="C16" s="287"/>
      <c r="D16" s="8"/>
      <c r="E16" s="33"/>
      <c r="F16" s="33"/>
      <c r="G16" s="33"/>
      <c r="H16" s="28"/>
      <c r="I16" s="50"/>
      <c r="J16" s="8"/>
      <c r="K16" s="8"/>
      <c r="L16" s="8"/>
      <c r="M16" s="8"/>
      <c r="N16" s="8"/>
      <c r="O16" s="8"/>
      <c r="P16" s="8"/>
    </row>
    <row r="17" spans="1:16" ht="13.25" customHeight="1" x14ac:dyDescent="0.3">
      <c r="A17" s="275" t="s">
        <v>37</v>
      </c>
      <c r="B17" s="276"/>
      <c r="C17" s="277"/>
      <c r="D17" s="20">
        <v>310100000000000</v>
      </c>
      <c r="E17" s="34"/>
      <c r="F17" s="34"/>
      <c r="G17" s="34"/>
      <c r="H17" s="29"/>
      <c r="I17" s="51"/>
      <c r="J17" s="9"/>
      <c r="K17" s="9"/>
      <c r="L17" s="9"/>
      <c r="M17" s="9"/>
      <c r="N17" s="9"/>
      <c r="O17" s="9"/>
      <c r="P17" s="9"/>
    </row>
    <row r="18" spans="1:16" x14ac:dyDescent="0.3">
      <c r="A18" s="314" t="s">
        <v>38</v>
      </c>
      <c r="B18" s="315"/>
      <c r="C18" s="316"/>
      <c r="D18" s="11"/>
      <c r="E18" s="82"/>
      <c r="F18" s="82"/>
      <c r="G18" s="82"/>
      <c r="H18" s="83"/>
      <c r="I18" s="93"/>
      <c r="J18" s="87"/>
      <c r="K18" s="87"/>
      <c r="L18" s="87"/>
      <c r="M18" s="87"/>
      <c r="N18" s="87"/>
      <c r="O18" s="87"/>
      <c r="P18" s="87"/>
    </row>
    <row r="19" spans="1:16" s="25" customFormat="1" ht="30" customHeight="1" x14ac:dyDescent="0.35">
      <c r="A19" s="252" t="s">
        <v>43</v>
      </c>
      <c r="B19" s="253"/>
      <c r="C19" s="254"/>
      <c r="D19" s="24"/>
      <c r="E19" s="76"/>
      <c r="F19" s="76"/>
      <c r="G19" s="76"/>
      <c r="H19" s="77"/>
      <c r="I19" s="78" t="e">
        <f>AVERAGE(E19:H19)</f>
        <v>#DIV/0!</v>
      </c>
      <c r="J19" s="97" t="s">
        <v>170</v>
      </c>
      <c r="K19" s="97"/>
      <c r="L19" s="97"/>
      <c r="M19" s="97"/>
      <c r="N19" s="98" t="e">
        <f>AVERAGE(J19:M19)</f>
        <v>#DIV/0!</v>
      </c>
      <c r="O19" s="71" t="e">
        <f>N19-I19</f>
        <v>#DIV/0!</v>
      </c>
      <c r="P19" s="24"/>
    </row>
    <row r="20" spans="1:16" s="25" customFormat="1" ht="19.75" customHeight="1" x14ac:dyDescent="0.35">
      <c r="A20" s="21"/>
      <c r="B20" s="22"/>
      <c r="C20" s="23"/>
      <c r="D20" s="24"/>
      <c r="E20" s="12"/>
      <c r="F20" s="12"/>
      <c r="G20" s="12"/>
      <c r="H20" s="54"/>
      <c r="I20" s="53"/>
      <c r="J20" s="24"/>
      <c r="K20" s="24"/>
      <c r="L20" s="24"/>
      <c r="M20" s="24"/>
      <c r="N20" s="24"/>
      <c r="O20" s="71"/>
      <c r="P20" s="24"/>
    </row>
    <row r="21" spans="1:16" s="25" customFormat="1" ht="14" customHeight="1" x14ac:dyDescent="0.35">
      <c r="A21" s="252" t="s">
        <v>44</v>
      </c>
      <c r="B21" s="253"/>
      <c r="C21" s="254"/>
      <c r="D21" s="24"/>
      <c r="E21" s="76"/>
      <c r="F21" s="76"/>
      <c r="G21" s="76"/>
      <c r="H21" s="77"/>
      <c r="I21" s="79" t="e">
        <f>AVERAGE(E21:H21)</f>
        <v>#DIV/0!</v>
      </c>
      <c r="J21" s="24" t="s">
        <v>170</v>
      </c>
      <c r="K21" s="24"/>
      <c r="L21" s="24"/>
      <c r="M21" s="24"/>
      <c r="N21" s="12" t="e">
        <f>AVERAGE(J21:M21)</f>
        <v>#DIV/0!</v>
      </c>
      <c r="O21" s="71" t="e">
        <f t="shared" ref="O21:O84" si="0">N21-I21</f>
        <v>#DIV/0!</v>
      </c>
      <c r="P21" s="24"/>
    </row>
    <row r="22" spans="1:16" s="25" customFormat="1" ht="14" customHeight="1" x14ac:dyDescent="0.35">
      <c r="A22" s="21"/>
      <c r="B22" s="22"/>
      <c r="C22" s="23"/>
      <c r="D22" s="24"/>
      <c r="E22" s="12"/>
      <c r="F22" s="12"/>
      <c r="G22" s="12"/>
      <c r="H22" s="31"/>
      <c r="I22" s="52"/>
      <c r="J22" s="24"/>
      <c r="K22" s="24"/>
      <c r="L22" s="24"/>
      <c r="M22" s="24"/>
      <c r="N22" s="24"/>
      <c r="O22" s="71"/>
      <c r="P22" s="24"/>
    </row>
    <row r="23" spans="1:16" x14ac:dyDescent="0.3">
      <c r="A23" s="288" t="s">
        <v>39</v>
      </c>
      <c r="B23" s="289"/>
      <c r="C23" s="290"/>
      <c r="D23" s="11"/>
      <c r="E23" s="82"/>
      <c r="F23" s="82"/>
      <c r="G23" s="82"/>
      <c r="H23" s="83"/>
      <c r="I23" s="93"/>
      <c r="J23" s="87"/>
      <c r="K23" s="87"/>
      <c r="L23" s="87"/>
      <c r="M23" s="87"/>
      <c r="N23" s="87"/>
      <c r="O23" s="103"/>
      <c r="P23" s="87"/>
    </row>
    <row r="24" spans="1:16" x14ac:dyDescent="0.3">
      <c r="A24" s="291" t="s">
        <v>55</v>
      </c>
      <c r="B24" s="292"/>
      <c r="C24" s="293"/>
      <c r="D24" s="11"/>
      <c r="E24" s="76"/>
      <c r="F24" s="76"/>
      <c r="G24" s="76"/>
      <c r="H24" s="80"/>
      <c r="I24" s="81">
        <f>SUM(E24:H24)</f>
        <v>0</v>
      </c>
      <c r="J24" s="16" t="s">
        <v>170</v>
      </c>
      <c r="K24" s="11"/>
      <c r="L24" s="11"/>
      <c r="M24" s="11"/>
      <c r="N24" s="12">
        <f>SUM(J24:M24)</f>
        <v>0</v>
      </c>
      <c r="O24" s="12">
        <f t="shared" si="0"/>
        <v>0</v>
      </c>
      <c r="P24" s="11"/>
    </row>
    <row r="25" spans="1:16" x14ac:dyDescent="0.3">
      <c r="A25" s="291" t="s">
        <v>53</v>
      </c>
      <c r="B25" s="292"/>
      <c r="C25" s="293"/>
      <c r="D25" s="11"/>
      <c r="E25" s="12"/>
      <c r="F25" s="12"/>
      <c r="G25" s="12"/>
      <c r="H25" s="26"/>
      <c r="I25" s="55">
        <f>SUM(E25:H25)</f>
        <v>0</v>
      </c>
      <c r="J25" s="16" t="s">
        <v>170</v>
      </c>
      <c r="K25" s="11"/>
      <c r="L25" s="11"/>
      <c r="M25" s="11"/>
      <c r="N25" s="12">
        <f t="shared" ref="N25:N26" si="1">SUM(J25:M25)</f>
        <v>0</v>
      </c>
      <c r="O25" s="12">
        <f t="shared" si="0"/>
        <v>0</v>
      </c>
      <c r="P25" s="11"/>
    </row>
    <row r="26" spans="1:16" x14ac:dyDescent="0.3">
      <c r="A26" s="17"/>
      <c r="B26" s="18"/>
      <c r="C26" s="35" t="s">
        <v>45</v>
      </c>
      <c r="D26" s="11"/>
      <c r="E26" s="12"/>
      <c r="F26" s="12"/>
      <c r="G26" s="12"/>
      <c r="H26" s="26"/>
      <c r="I26" s="55">
        <f>SUM(E26:H26)</f>
        <v>0</v>
      </c>
      <c r="J26" s="16" t="s">
        <v>170</v>
      </c>
      <c r="K26" s="11"/>
      <c r="L26" s="11"/>
      <c r="M26" s="11"/>
      <c r="N26" s="12">
        <f t="shared" si="1"/>
        <v>0</v>
      </c>
      <c r="O26" s="12">
        <f t="shared" si="0"/>
        <v>0</v>
      </c>
      <c r="P26" s="11"/>
    </row>
    <row r="27" spans="1:16" x14ac:dyDescent="0.3">
      <c r="A27" s="291" t="s">
        <v>54</v>
      </c>
      <c r="B27" s="292"/>
      <c r="C27" s="293"/>
      <c r="D27" s="11"/>
      <c r="E27" s="76"/>
      <c r="F27" s="76"/>
      <c r="G27" s="76"/>
      <c r="H27" s="80"/>
      <c r="I27" s="81">
        <f>SUM(E27:H27)</f>
        <v>0</v>
      </c>
      <c r="J27" s="16" t="s">
        <v>170</v>
      </c>
      <c r="K27" s="11"/>
      <c r="L27" s="11"/>
      <c r="M27" s="11"/>
      <c r="N27" s="12">
        <f>SUM(J27:M27)</f>
        <v>0</v>
      </c>
      <c r="O27" s="12">
        <f t="shared" si="0"/>
        <v>0</v>
      </c>
      <c r="P27" s="11"/>
    </row>
    <row r="28" spans="1:16" x14ac:dyDescent="0.3">
      <c r="A28" s="214"/>
      <c r="B28" s="215"/>
      <c r="C28" s="216"/>
      <c r="D28" s="11"/>
      <c r="E28" s="12"/>
      <c r="F28" s="12"/>
      <c r="G28" s="12"/>
      <c r="H28" s="26"/>
      <c r="I28" s="13"/>
      <c r="J28" s="11"/>
      <c r="K28" s="11"/>
      <c r="L28" s="11"/>
      <c r="M28" s="11"/>
      <c r="N28" s="11"/>
      <c r="O28" s="104"/>
      <c r="P28" s="11"/>
    </row>
    <row r="29" spans="1:16" x14ac:dyDescent="0.3">
      <c r="A29" s="208" t="s">
        <v>47</v>
      </c>
      <c r="B29" s="209"/>
      <c r="C29" s="210"/>
      <c r="D29" s="20">
        <v>310200000000000</v>
      </c>
      <c r="E29" s="34"/>
      <c r="F29" s="34"/>
      <c r="G29" s="34"/>
      <c r="H29" s="29"/>
      <c r="I29" s="51"/>
      <c r="J29" s="9"/>
      <c r="K29" s="9"/>
      <c r="L29" s="9"/>
      <c r="M29" s="9"/>
      <c r="N29" s="9"/>
      <c r="O29" s="71"/>
      <c r="P29" s="9"/>
    </row>
    <row r="30" spans="1:16" x14ac:dyDescent="0.3">
      <c r="A30" s="224" t="s">
        <v>48</v>
      </c>
      <c r="B30" s="225"/>
      <c r="C30" s="226"/>
      <c r="D30" s="11"/>
      <c r="E30" s="82"/>
      <c r="F30" s="82"/>
      <c r="G30" s="82"/>
      <c r="H30" s="83"/>
      <c r="I30" s="93"/>
      <c r="J30" s="87"/>
      <c r="K30" s="87"/>
      <c r="L30" s="87"/>
      <c r="M30" s="87"/>
      <c r="N30" s="87"/>
      <c r="O30" s="103"/>
      <c r="P30" s="87"/>
    </row>
    <row r="31" spans="1:16" s="10" customFormat="1" ht="31.75" customHeight="1" x14ac:dyDescent="0.3">
      <c r="A31" s="252" t="s">
        <v>49</v>
      </c>
      <c r="B31" s="253"/>
      <c r="C31" s="254"/>
      <c r="D31" s="16"/>
      <c r="E31" s="82"/>
      <c r="F31" s="82"/>
      <c r="G31" s="82"/>
      <c r="H31" s="83"/>
      <c r="I31" s="86"/>
      <c r="J31" s="86"/>
      <c r="K31" s="86"/>
      <c r="L31" s="86"/>
      <c r="M31" s="86"/>
      <c r="N31" s="86"/>
      <c r="O31" s="103"/>
      <c r="P31" s="86"/>
    </row>
    <row r="32" spans="1:16" ht="15.5" customHeight="1" x14ac:dyDescent="0.3">
      <c r="A32" s="211" t="s">
        <v>25</v>
      </c>
      <c r="B32" s="212"/>
      <c r="C32" s="213"/>
      <c r="D32" s="11"/>
      <c r="E32" s="82"/>
      <c r="F32" s="36"/>
      <c r="G32" s="82"/>
      <c r="H32" s="83"/>
      <c r="I32" s="92">
        <f>F32</f>
        <v>0</v>
      </c>
      <c r="J32" s="82"/>
      <c r="K32" s="36"/>
      <c r="L32" s="82"/>
      <c r="M32" s="83"/>
      <c r="N32" s="92">
        <f>K32</f>
        <v>0</v>
      </c>
      <c r="O32" s="71">
        <f t="shared" si="0"/>
        <v>0</v>
      </c>
      <c r="P32" s="11"/>
    </row>
    <row r="33" spans="1:16" ht="15.5" customHeight="1" x14ac:dyDescent="0.3">
      <c r="A33" s="14"/>
      <c r="B33" s="3"/>
      <c r="C33" s="15" t="s">
        <v>108</v>
      </c>
      <c r="D33" s="11"/>
      <c r="E33" s="82"/>
      <c r="F33" s="12"/>
      <c r="G33" s="82"/>
      <c r="H33" s="83"/>
      <c r="I33" s="13">
        <f t="shared" ref="I33:I39" si="2">F33</f>
        <v>0</v>
      </c>
      <c r="J33" s="82"/>
      <c r="K33" s="12"/>
      <c r="L33" s="82"/>
      <c r="M33" s="83"/>
      <c r="N33" s="13">
        <f t="shared" ref="N33:N39" si="3">K33</f>
        <v>0</v>
      </c>
      <c r="O33" s="12">
        <f t="shared" si="0"/>
        <v>0</v>
      </c>
      <c r="P33" s="11"/>
    </row>
    <row r="34" spans="1:16" ht="15.5" customHeight="1" x14ac:dyDescent="0.3">
      <c r="A34" s="14"/>
      <c r="B34" s="3"/>
      <c r="C34" s="70" t="s">
        <v>107</v>
      </c>
      <c r="D34" s="11"/>
      <c r="E34" s="82"/>
      <c r="F34" s="36"/>
      <c r="G34" s="82"/>
      <c r="H34" s="83"/>
      <c r="I34" s="92">
        <f t="shared" si="2"/>
        <v>0</v>
      </c>
      <c r="J34" s="82"/>
      <c r="K34" s="36"/>
      <c r="L34" s="82"/>
      <c r="M34" s="83"/>
      <c r="N34" s="92">
        <f t="shared" si="3"/>
        <v>0</v>
      </c>
      <c r="O34" s="71">
        <f t="shared" si="0"/>
        <v>0</v>
      </c>
      <c r="P34" s="11"/>
    </row>
    <row r="35" spans="1:16" ht="15.5" customHeight="1" x14ac:dyDescent="0.3">
      <c r="A35" s="14"/>
      <c r="B35" s="3"/>
      <c r="C35" s="15" t="s">
        <v>108</v>
      </c>
      <c r="D35" s="11"/>
      <c r="E35" s="82"/>
      <c r="F35" s="12"/>
      <c r="G35" s="82"/>
      <c r="H35" s="83"/>
      <c r="I35" s="13">
        <f t="shared" si="2"/>
        <v>0</v>
      </c>
      <c r="J35" s="82"/>
      <c r="K35" s="36"/>
      <c r="L35" s="82"/>
      <c r="M35" s="83"/>
      <c r="N35" s="13">
        <f t="shared" si="3"/>
        <v>0</v>
      </c>
      <c r="O35" s="12">
        <f t="shared" si="0"/>
        <v>0</v>
      </c>
      <c r="P35" s="11"/>
    </row>
    <row r="36" spans="1:16" ht="15.5" customHeight="1" x14ac:dyDescent="0.3">
      <c r="A36" s="211" t="s">
        <v>26</v>
      </c>
      <c r="B36" s="212"/>
      <c r="C36" s="213"/>
      <c r="D36" s="11"/>
      <c r="E36" s="82"/>
      <c r="F36" s="36"/>
      <c r="G36" s="82"/>
      <c r="H36" s="83"/>
      <c r="I36" s="92">
        <f t="shared" si="2"/>
        <v>0</v>
      </c>
      <c r="J36" s="82"/>
      <c r="K36" s="36"/>
      <c r="L36" s="82"/>
      <c r="M36" s="83"/>
      <c r="N36" s="92">
        <f t="shared" si="3"/>
        <v>0</v>
      </c>
      <c r="O36" s="71">
        <f t="shared" si="0"/>
        <v>0</v>
      </c>
      <c r="P36" s="11"/>
    </row>
    <row r="37" spans="1:16" ht="15.5" customHeight="1" x14ac:dyDescent="0.3">
      <c r="A37" s="14"/>
      <c r="B37" s="3"/>
      <c r="C37" s="15" t="s">
        <v>108</v>
      </c>
      <c r="D37" s="11"/>
      <c r="E37" s="82"/>
      <c r="F37" s="12"/>
      <c r="G37" s="82"/>
      <c r="H37" s="83"/>
      <c r="I37" s="13">
        <f t="shared" si="2"/>
        <v>0</v>
      </c>
      <c r="J37" s="82"/>
      <c r="K37" s="12"/>
      <c r="L37" s="82"/>
      <c r="M37" s="83"/>
      <c r="N37" s="13">
        <f t="shared" si="3"/>
        <v>0</v>
      </c>
      <c r="O37" s="12">
        <f t="shared" si="0"/>
        <v>0</v>
      </c>
      <c r="P37" s="11"/>
    </row>
    <row r="38" spans="1:16" ht="15.5" customHeight="1" x14ac:dyDescent="0.3">
      <c r="A38" s="211" t="s">
        <v>27</v>
      </c>
      <c r="B38" s="212"/>
      <c r="C38" s="213"/>
      <c r="D38" s="11"/>
      <c r="E38" s="82"/>
      <c r="F38" s="36"/>
      <c r="G38" s="82"/>
      <c r="H38" s="83"/>
      <c r="I38" s="92">
        <f t="shared" si="2"/>
        <v>0</v>
      </c>
      <c r="J38" s="82"/>
      <c r="K38" s="36"/>
      <c r="L38" s="82"/>
      <c r="M38" s="83"/>
      <c r="N38" s="92">
        <f t="shared" si="3"/>
        <v>0</v>
      </c>
      <c r="O38" s="71">
        <f t="shared" si="0"/>
        <v>0</v>
      </c>
      <c r="P38" s="11"/>
    </row>
    <row r="39" spans="1:16" ht="15.5" customHeight="1" x14ac:dyDescent="0.3">
      <c r="A39" s="14"/>
      <c r="B39" s="3"/>
      <c r="C39" s="15" t="s">
        <v>108</v>
      </c>
      <c r="D39" s="11"/>
      <c r="E39" s="82"/>
      <c r="F39" s="12"/>
      <c r="G39" s="82"/>
      <c r="H39" s="83"/>
      <c r="I39" s="13">
        <f t="shared" si="2"/>
        <v>0</v>
      </c>
      <c r="J39" s="82"/>
      <c r="K39" s="12"/>
      <c r="L39" s="82"/>
      <c r="M39" s="83"/>
      <c r="N39" s="13">
        <f t="shared" si="3"/>
        <v>0</v>
      </c>
      <c r="O39" s="12">
        <f t="shared" si="0"/>
        <v>0</v>
      </c>
      <c r="P39" s="11"/>
    </row>
    <row r="40" spans="1:16" ht="15.5" customHeight="1" x14ac:dyDescent="0.3">
      <c r="A40" s="14"/>
      <c r="B40" s="3"/>
      <c r="C40" s="15"/>
      <c r="D40" s="11"/>
      <c r="E40" s="12"/>
      <c r="F40" s="12"/>
      <c r="G40" s="12"/>
      <c r="H40" s="26"/>
      <c r="I40" s="13"/>
      <c r="J40" s="12"/>
      <c r="K40" s="12"/>
      <c r="L40" s="12"/>
      <c r="M40" s="26"/>
      <c r="N40" s="13"/>
      <c r="O40" s="71"/>
      <c r="P40" s="11"/>
    </row>
    <row r="41" spans="1:16" ht="25.25" customHeight="1" x14ac:dyDescent="0.3">
      <c r="A41" s="243" t="s">
        <v>46</v>
      </c>
      <c r="B41" s="244"/>
      <c r="C41" s="245"/>
      <c r="D41" s="16"/>
      <c r="E41" s="82"/>
      <c r="F41" s="82"/>
      <c r="G41" s="82"/>
      <c r="H41" s="83"/>
      <c r="I41" s="86"/>
      <c r="J41" s="82"/>
      <c r="K41" s="82"/>
      <c r="L41" s="82"/>
      <c r="M41" s="83"/>
      <c r="N41" s="86"/>
      <c r="O41" s="103"/>
      <c r="P41" s="86"/>
    </row>
    <row r="42" spans="1:16" ht="15.5" customHeight="1" x14ac:dyDescent="0.3">
      <c r="A42" s="304" t="s">
        <v>102</v>
      </c>
      <c r="B42" s="305"/>
      <c r="C42" s="306"/>
      <c r="D42" s="11"/>
      <c r="E42" s="82"/>
      <c r="F42" s="36"/>
      <c r="G42" s="82"/>
      <c r="H42" s="83"/>
      <c r="I42" s="92">
        <f>F42</f>
        <v>0</v>
      </c>
      <c r="J42" s="82"/>
      <c r="K42" s="94"/>
      <c r="L42" s="82"/>
      <c r="M42" s="83"/>
      <c r="N42" s="96">
        <f>K42</f>
        <v>0</v>
      </c>
      <c r="O42" s="71">
        <f t="shared" si="0"/>
        <v>0</v>
      </c>
      <c r="P42" s="11"/>
    </row>
    <row r="43" spans="1:16" ht="15.5" customHeight="1" x14ac:dyDescent="0.3">
      <c r="A43" s="46"/>
      <c r="B43" s="47"/>
      <c r="C43" s="15" t="s">
        <v>108</v>
      </c>
      <c r="D43" s="11"/>
      <c r="E43" s="82"/>
      <c r="F43" s="12"/>
      <c r="G43" s="82"/>
      <c r="H43" s="83"/>
      <c r="I43" s="13">
        <f t="shared" ref="I43:I53" si="4">F43</f>
        <v>0</v>
      </c>
      <c r="J43" s="82"/>
      <c r="K43" s="95"/>
      <c r="L43" s="82"/>
      <c r="M43" s="83"/>
      <c r="N43" s="13">
        <f t="shared" ref="N43:N53" si="5">K43</f>
        <v>0</v>
      </c>
      <c r="O43" s="12">
        <f t="shared" si="0"/>
        <v>0</v>
      </c>
      <c r="P43" s="11"/>
    </row>
    <row r="44" spans="1:16" ht="15.5" customHeight="1" x14ac:dyDescent="0.3">
      <c r="A44" s="304" t="s">
        <v>103</v>
      </c>
      <c r="B44" s="305"/>
      <c r="C44" s="306"/>
      <c r="D44" s="11"/>
      <c r="E44" s="82"/>
      <c r="F44" s="36"/>
      <c r="G44" s="82"/>
      <c r="H44" s="83"/>
      <c r="I44" s="92">
        <f t="shared" si="4"/>
        <v>0</v>
      </c>
      <c r="J44" s="82"/>
      <c r="K44" s="94"/>
      <c r="L44" s="82"/>
      <c r="M44" s="83"/>
      <c r="N44" s="96">
        <f t="shared" si="5"/>
        <v>0</v>
      </c>
      <c r="O44" s="71">
        <f t="shared" si="0"/>
        <v>0</v>
      </c>
      <c r="P44" s="11"/>
    </row>
    <row r="45" spans="1:16" ht="15.5" customHeight="1" x14ac:dyDescent="0.3">
      <c r="A45" s="46"/>
      <c r="B45" s="47"/>
      <c r="C45" s="15" t="s">
        <v>108</v>
      </c>
      <c r="D45" s="11"/>
      <c r="E45" s="82"/>
      <c r="F45" s="12"/>
      <c r="G45" s="82"/>
      <c r="H45" s="83"/>
      <c r="I45" s="13">
        <f t="shared" si="4"/>
        <v>0</v>
      </c>
      <c r="J45" s="82"/>
      <c r="K45" s="95"/>
      <c r="L45" s="82"/>
      <c r="M45" s="83"/>
      <c r="N45" s="13">
        <f t="shared" si="5"/>
        <v>0</v>
      </c>
      <c r="O45" s="12">
        <f t="shared" si="0"/>
        <v>0</v>
      </c>
      <c r="P45" s="11"/>
    </row>
    <row r="46" spans="1:16" ht="15.5" customHeight="1" x14ac:dyDescent="0.3">
      <c r="A46" s="304" t="s">
        <v>104</v>
      </c>
      <c r="B46" s="305"/>
      <c r="C46" s="306"/>
      <c r="D46" s="11"/>
      <c r="E46" s="82"/>
      <c r="F46" s="94"/>
      <c r="G46" s="82"/>
      <c r="H46" s="83"/>
      <c r="I46" s="92">
        <f t="shared" si="4"/>
        <v>0</v>
      </c>
      <c r="J46" s="82"/>
      <c r="K46" s="94"/>
      <c r="L46" s="82"/>
      <c r="M46" s="83"/>
      <c r="N46" s="96">
        <f t="shared" si="5"/>
        <v>0</v>
      </c>
      <c r="O46" s="71">
        <f t="shared" si="0"/>
        <v>0</v>
      </c>
      <c r="P46" s="11"/>
    </row>
    <row r="47" spans="1:16" ht="15.5" customHeight="1" x14ac:dyDescent="0.3">
      <c r="A47" s="46"/>
      <c r="B47" s="47"/>
      <c r="C47" s="15" t="s">
        <v>108</v>
      </c>
      <c r="D47" s="11"/>
      <c r="E47" s="82"/>
      <c r="F47" s="12"/>
      <c r="G47" s="82"/>
      <c r="H47" s="83"/>
      <c r="I47" s="13">
        <f t="shared" si="4"/>
        <v>0</v>
      </c>
      <c r="J47" s="82"/>
      <c r="K47" s="95"/>
      <c r="L47" s="82"/>
      <c r="M47" s="83"/>
      <c r="N47" s="13">
        <f t="shared" si="5"/>
        <v>0</v>
      </c>
      <c r="O47" s="12">
        <f t="shared" si="0"/>
        <v>0</v>
      </c>
      <c r="P47" s="11"/>
    </row>
    <row r="48" spans="1:16" ht="15.5" customHeight="1" x14ac:dyDescent="0.3">
      <c r="A48" s="304" t="s">
        <v>105</v>
      </c>
      <c r="B48" s="305"/>
      <c r="C48" s="306"/>
      <c r="D48" s="11"/>
      <c r="E48" s="82"/>
      <c r="F48" s="36"/>
      <c r="G48" s="82"/>
      <c r="H48" s="83"/>
      <c r="I48" s="92">
        <f t="shared" si="4"/>
        <v>0</v>
      </c>
      <c r="J48" s="82"/>
      <c r="K48" s="94"/>
      <c r="L48" s="82"/>
      <c r="M48" s="83"/>
      <c r="N48" s="96">
        <f t="shared" si="5"/>
        <v>0</v>
      </c>
      <c r="O48" s="71">
        <f t="shared" si="0"/>
        <v>0</v>
      </c>
      <c r="P48" s="11"/>
    </row>
    <row r="49" spans="1:16" ht="15.5" customHeight="1" x14ac:dyDescent="0.3">
      <c r="A49" s="46"/>
      <c r="B49" s="47"/>
      <c r="C49" s="15" t="s">
        <v>108</v>
      </c>
      <c r="D49" s="11"/>
      <c r="E49" s="82"/>
      <c r="F49" s="12"/>
      <c r="G49" s="82"/>
      <c r="H49" s="83"/>
      <c r="I49" s="13">
        <f t="shared" si="4"/>
        <v>0</v>
      </c>
      <c r="J49" s="82"/>
      <c r="K49" s="95"/>
      <c r="L49" s="82"/>
      <c r="M49" s="83"/>
      <c r="N49" s="13">
        <f t="shared" si="5"/>
        <v>0</v>
      </c>
      <c r="O49" s="12">
        <f t="shared" si="0"/>
        <v>0</v>
      </c>
      <c r="P49" s="11"/>
    </row>
    <row r="50" spans="1:16" ht="15.5" customHeight="1" x14ac:dyDescent="0.3">
      <c r="A50" s="304" t="s">
        <v>106</v>
      </c>
      <c r="B50" s="305"/>
      <c r="C50" s="306"/>
      <c r="D50" s="11"/>
      <c r="E50" s="82"/>
      <c r="F50" s="36"/>
      <c r="G50" s="82"/>
      <c r="H50" s="83"/>
      <c r="I50" s="92">
        <f t="shared" si="4"/>
        <v>0</v>
      </c>
      <c r="J50" s="82"/>
      <c r="K50" s="94"/>
      <c r="L50" s="82"/>
      <c r="M50" s="83"/>
      <c r="N50" s="96">
        <f t="shared" si="5"/>
        <v>0</v>
      </c>
      <c r="O50" s="71">
        <f t="shared" si="0"/>
        <v>0</v>
      </c>
      <c r="P50" s="11"/>
    </row>
    <row r="51" spans="1:16" ht="15.5" customHeight="1" x14ac:dyDescent="0.3">
      <c r="A51" s="46"/>
      <c r="B51" s="47"/>
      <c r="C51" s="15" t="s">
        <v>108</v>
      </c>
      <c r="D51" s="11"/>
      <c r="E51" s="82"/>
      <c r="F51" s="12"/>
      <c r="G51" s="82"/>
      <c r="H51" s="83"/>
      <c r="I51" s="13">
        <f t="shared" si="4"/>
        <v>0</v>
      </c>
      <c r="J51" s="82"/>
      <c r="K51" s="95"/>
      <c r="L51" s="82"/>
      <c r="M51" s="83"/>
      <c r="N51" s="13">
        <f t="shared" si="5"/>
        <v>0</v>
      </c>
      <c r="O51" s="12">
        <f t="shared" si="0"/>
        <v>0</v>
      </c>
      <c r="P51" s="11"/>
    </row>
    <row r="52" spans="1:16" ht="15.5" customHeight="1" x14ac:dyDescent="0.3">
      <c r="A52" s="304" t="s">
        <v>111</v>
      </c>
      <c r="B52" s="305"/>
      <c r="C52" s="306"/>
      <c r="D52" s="11"/>
      <c r="E52" s="82"/>
      <c r="F52" s="94"/>
      <c r="G52" s="82"/>
      <c r="H52" s="83"/>
      <c r="I52" s="92">
        <f t="shared" si="4"/>
        <v>0</v>
      </c>
      <c r="J52" s="82"/>
      <c r="K52" s="94"/>
      <c r="L52" s="82"/>
      <c r="M52" s="83"/>
      <c r="N52" s="96">
        <f t="shared" si="5"/>
        <v>0</v>
      </c>
      <c r="O52" s="71">
        <f t="shared" si="0"/>
        <v>0</v>
      </c>
      <c r="P52" s="11"/>
    </row>
    <row r="53" spans="1:16" ht="15.5" customHeight="1" x14ac:dyDescent="0.3">
      <c r="A53" s="37"/>
      <c r="B53" s="38"/>
      <c r="C53" s="15" t="s">
        <v>108</v>
      </c>
      <c r="D53" s="11"/>
      <c r="E53" s="82"/>
      <c r="F53" s="12"/>
      <c r="G53" s="82"/>
      <c r="H53" s="83"/>
      <c r="I53" s="13">
        <f t="shared" si="4"/>
        <v>0</v>
      </c>
      <c r="J53" s="82"/>
      <c r="K53" s="95"/>
      <c r="L53" s="82"/>
      <c r="M53" s="83"/>
      <c r="N53" s="13">
        <f t="shared" si="5"/>
        <v>0</v>
      </c>
      <c r="O53" s="12">
        <f t="shared" si="0"/>
        <v>0</v>
      </c>
      <c r="P53" s="11"/>
    </row>
    <row r="54" spans="1:16" ht="15.5" customHeight="1" x14ac:dyDescent="0.3">
      <c r="A54" s="37"/>
      <c r="B54" s="38"/>
      <c r="C54" s="39"/>
      <c r="D54" s="11"/>
      <c r="E54" s="12"/>
      <c r="F54" s="12"/>
      <c r="G54" s="12"/>
      <c r="H54" s="26"/>
      <c r="I54" s="13"/>
      <c r="J54" s="12"/>
      <c r="K54" s="12"/>
      <c r="L54" s="12"/>
      <c r="M54" s="26"/>
      <c r="N54" s="13"/>
      <c r="O54" s="71"/>
      <c r="P54" s="11"/>
    </row>
    <row r="55" spans="1:16" ht="25.75" customHeight="1" x14ac:dyDescent="0.3">
      <c r="A55" s="243" t="s">
        <v>52</v>
      </c>
      <c r="B55" s="244"/>
      <c r="C55" s="245"/>
      <c r="D55" s="16"/>
      <c r="E55" s="82"/>
      <c r="F55" s="82"/>
      <c r="G55" s="82"/>
      <c r="H55" s="83"/>
      <c r="I55" s="86"/>
      <c r="J55" s="82"/>
      <c r="K55" s="82"/>
      <c r="L55" s="82"/>
      <c r="M55" s="83"/>
      <c r="N55" s="86"/>
      <c r="O55" s="103"/>
      <c r="P55" s="86"/>
    </row>
    <row r="56" spans="1:16" ht="15.5" customHeight="1" x14ac:dyDescent="0.3">
      <c r="A56" s="246" t="s">
        <v>56</v>
      </c>
      <c r="B56" s="247"/>
      <c r="C56" s="248"/>
      <c r="D56" s="11"/>
      <c r="E56" s="82"/>
      <c r="F56" s="82"/>
      <c r="G56" s="82"/>
      <c r="H56" s="31"/>
      <c r="I56" s="92">
        <f>H56</f>
        <v>0</v>
      </c>
      <c r="J56" s="82"/>
      <c r="K56" s="82"/>
      <c r="L56" s="82"/>
      <c r="M56" s="31"/>
      <c r="N56" s="92">
        <f>M56</f>
        <v>0</v>
      </c>
      <c r="O56" s="71">
        <f t="shared" si="0"/>
        <v>0</v>
      </c>
      <c r="P56" s="11"/>
    </row>
    <row r="57" spans="1:16" ht="15.5" customHeight="1" x14ac:dyDescent="0.3">
      <c r="A57" s="40"/>
      <c r="B57" s="41"/>
      <c r="C57" s="15" t="s">
        <v>108</v>
      </c>
      <c r="D57" s="11"/>
      <c r="E57" s="82"/>
      <c r="F57" s="82"/>
      <c r="G57" s="82"/>
      <c r="H57" s="26"/>
      <c r="I57" s="13">
        <f t="shared" ref="I57:I61" si="6">H57</f>
        <v>0</v>
      </c>
      <c r="J57" s="82"/>
      <c r="K57" s="82"/>
      <c r="L57" s="82"/>
      <c r="M57" s="26"/>
      <c r="N57" s="13">
        <f t="shared" ref="N57:N61" si="7">M57</f>
        <v>0</v>
      </c>
      <c r="O57" s="12">
        <f t="shared" si="0"/>
        <v>0</v>
      </c>
      <c r="P57" s="11"/>
    </row>
    <row r="58" spans="1:16" ht="15.5" customHeight="1" x14ac:dyDescent="0.3">
      <c r="A58" s="246" t="s">
        <v>57</v>
      </c>
      <c r="B58" s="247"/>
      <c r="C58" s="248"/>
      <c r="D58" s="11"/>
      <c r="E58" s="82"/>
      <c r="F58" s="82"/>
      <c r="G58" s="82"/>
      <c r="H58" s="31"/>
      <c r="I58" s="92">
        <f t="shared" si="6"/>
        <v>0</v>
      </c>
      <c r="J58" s="82"/>
      <c r="K58" s="82"/>
      <c r="L58" s="82"/>
      <c r="M58" s="31"/>
      <c r="N58" s="92">
        <f t="shared" si="7"/>
        <v>0</v>
      </c>
      <c r="O58" s="71">
        <f t="shared" si="0"/>
        <v>0</v>
      </c>
      <c r="P58" s="11"/>
    </row>
    <row r="59" spans="1:16" ht="15.5" customHeight="1" x14ac:dyDescent="0.3">
      <c r="A59" s="40"/>
      <c r="B59" s="41"/>
      <c r="C59" s="15" t="s">
        <v>108</v>
      </c>
      <c r="D59" s="11"/>
      <c r="E59" s="82"/>
      <c r="F59" s="82"/>
      <c r="G59" s="82"/>
      <c r="H59" s="26"/>
      <c r="I59" s="13">
        <f t="shared" si="6"/>
        <v>0</v>
      </c>
      <c r="J59" s="82"/>
      <c r="K59" s="82"/>
      <c r="L59" s="82"/>
      <c r="M59" s="26"/>
      <c r="N59" s="13">
        <f t="shared" si="7"/>
        <v>0</v>
      </c>
      <c r="O59" s="12">
        <f t="shared" si="0"/>
        <v>0</v>
      </c>
      <c r="P59" s="11"/>
    </row>
    <row r="60" spans="1:16" ht="15.5" customHeight="1" x14ac:dyDescent="0.3">
      <c r="A60" s="246" t="s">
        <v>58</v>
      </c>
      <c r="B60" s="247"/>
      <c r="C60" s="248"/>
      <c r="D60" s="11"/>
      <c r="E60" s="82"/>
      <c r="F60" s="82"/>
      <c r="G60" s="82"/>
      <c r="H60" s="31"/>
      <c r="I60" s="92">
        <f t="shared" si="6"/>
        <v>0</v>
      </c>
      <c r="J60" s="82"/>
      <c r="K60" s="82"/>
      <c r="L60" s="82"/>
      <c r="M60" s="31"/>
      <c r="N60" s="92">
        <f t="shared" si="7"/>
        <v>0</v>
      </c>
      <c r="O60" s="71">
        <f t="shared" si="0"/>
        <v>0</v>
      </c>
      <c r="P60" s="11"/>
    </row>
    <row r="61" spans="1:16" ht="15.5" customHeight="1" x14ac:dyDescent="0.3">
      <c r="A61" s="40"/>
      <c r="B61" s="41"/>
      <c r="C61" s="15" t="s">
        <v>108</v>
      </c>
      <c r="D61" s="11"/>
      <c r="E61" s="82"/>
      <c r="F61" s="82"/>
      <c r="G61" s="82"/>
      <c r="H61" s="26"/>
      <c r="I61" s="13">
        <f t="shared" si="6"/>
        <v>0</v>
      </c>
      <c r="J61" s="82"/>
      <c r="K61" s="82"/>
      <c r="L61" s="82"/>
      <c r="M61" s="26"/>
      <c r="N61" s="13">
        <f t="shared" si="7"/>
        <v>0</v>
      </c>
      <c r="O61" s="12">
        <f t="shared" si="0"/>
        <v>0</v>
      </c>
      <c r="P61" s="11"/>
    </row>
    <row r="62" spans="1:16" ht="15.5" customHeight="1" x14ac:dyDescent="0.3">
      <c r="A62" s="214"/>
      <c r="B62" s="215"/>
      <c r="C62" s="216"/>
      <c r="D62" s="11"/>
      <c r="E62" s="12"/>
      <c r="F62" s="12"/>
      <c r="G62" s="12"/>
      <c r="H62" s="26"/>
      <c r="I62" s="13"/>
      <c r="J62" s="12"/>
      <c r="K62" s="12"/>
      <c r="L62" s="12"/>
      <c r="M62" s="26"/>
      <c r="N62" s="13"/>
      <c r="O62" s="71"/>
      <c r="P62" s="11"/>
    </row>
    <row r="63" spans="1:16" x14ac:dyDescent="0.3">
      <c r="A63" s="224" t="s">
        <v>59</v>
      </c>
      <c r="B63" s="225"/>
      <c r="C63" s="226"/>
      <c r="D63" s="11"/>
      <c r="E63" s="82"/>
      <c r="F63" s="82"/>
      <c r="G63" s="82"/>
      <c r="H63" s="83"/>
      <c r="I63" s="93"/>
      <c r="J63" s="82"/>
      <c r="K63" s="82"/>
      <c r="L63" s="82"/>
      <c r="M63" s="83"/>
      <c r="N63" s="93"/>
      <c r="O63" s="103"/>
      <c r="P63" s="87"/>
    </row>
    <row r="64" spans="1:16" x14ac:dyDescent="0.3">
      <c r="A64" s="295" t="s">
        <v>67</v>
      </c>
      <c r="B64" s="296"/>
      <c r="C64" s="297"/>
      <c r="D64" s="11"/>
      <c r="E64" s="82"/>
      <c r="F64" s="82"/>
      <c r="G64" s="82"/>
      <c r="H64" s="83"/>
      <c r="I64" s="93"/>
      <c r="J64" s="82"/>
      <c r="K64" s="82"/>
      <c r="L64" s="82"/>
      <c r="M64" s="83"/>
      <c r="N64" s="93"/>
      <c r="O64" s="103"/>
      <c r="P64" s="87"/>
    </row>
    <row r="65" spans="1:16" ht="15.5" customHeight="1" x14ac:dyDescent="0.3">
      <c r="A65" s="308" t="s">
        <v>68</v>
      </c>
      <c r="B65" s="309"/>
      <c r="C65" s="310"/>
      <c r="D65" s="11"/>
      <c r="E65" s="82"/>
      <c r="F65" s="82"/>
      <c r="G65" s="12"/>
      <c r="H65" s="26"/>
      <c r="I65" s="13">
        <f>SUM(G65:H65)</f>
        <v>0</v>
      </c>
      <c r="J65" s="12">
        <v>0</v>
      </c>
      <c r="K65" s="12"/>
      <c r="L65" s="12"/>
      <c r="M65" s="26"/>
      <c r="N65" s="13">
        <f>SUM(L65:M65)</f>
        <v>0</v>
      </c>
      <c r="O65" s="12">
        <f t="shared" si="0"/>
        <v>0</v>
      </c>
      <c r="P65" s="11"/>
    </row>
    <row r="66" spans="1:16" ht="15.5" customHeight="1" x14ac:dyDescent="0.3">
      <c r="A66" s="308" t="s">
        <v>69</v>
      </c>
      <c r="B66" s="309"/>
      <c r="C66" s="310"/>
      <c r="D66" s="11"/>
      <c r="E66" s="85"/>
      <c r="F66" s="85"/>
      <c r="G66" s="56"/>
      <c r="H66" s="60"/>
      <c r="I66" s="13">
        <f>SUM(G66:H66)</f>
        <v>0</v>
      </c>
      <c r="J66" s="12">
        <v>10</v>
      </c>
      <c r="K66" s="56"/>
      <c r="L66" s="56"/>
      <c r="M66" s="60"/>
      <c r="N66" s="13">
        <f>SUM(L66:M66)</f>
        <v>0</v>
      </c>
      <c r="O66" s="12">
        <f t="shared" si="0"/>
        <v>0</v>
      </c>
      <c r="P66" s="11" t="s">
        <v>215</v>
      </c>
    </row>
    <row r="67" spans="1:16" ht="27.65" customHeight="1" x14ac:dyDescent="0.3">
      <c r="A67" s="311" t="s">
        <v>66</v>
      </c>
      <c r="B67" s="312"/>
      <c r="C67" s="313"/>
      <c r="D67" s="16"/>
      <c r="E67" s="12"/>
      <c r="F67" s="61"/>
      <c r="G67" s="61"/>
      <c r="H67" s="63"/>
      <c r="I67" s="61">
        <f>SUM(E67:H67)</f>
        <v>0</v>
      </c>
      <c r="J67" s="12" t="s">
        <v>170</v>
      </c>
      <c r="K67" s="61"/>
      <c r="L67" s="61"/>
      <c r="M67" s="63"/>
      <c r="N67" s="61">
        <f>SUM(J67:M67)</f>
        <v>0</v>
      </c>
      <c r="O67" s="12">
        <f t="shared" si="0"/>
        <v>0</v>
      </c>
      <c r="P67" s="16"/>
    </row>
    <row r="68" spans="1:16" ht="15.5" customHeight="1" x14ac:dyDescent="0.3">
      <c r="A68" s="43"/>
      <c r="B68" s="44"/>
      <c r="C68" s="45"/>
      <c r="D68" s="16"/>
      <c r="E68" s="12"/>
      <c r="F68" s="12"/>
      <c r="G68" s="12"/>
      <c r="H68" s="26"/>
      <c r="I68" s="13"/>
      <c r="J68" s="12"/>
      <c r="K68" s="12"/>
      <c r="L68" s="12"/>
      <c r="M68" s="26"/>
      <c r="N68" s="13"/>
      <c r="O68" s="71"/>
      <c r="P68" s="16"/>
    </row>
    <row r="69" spans="1:16" x14ac:dyDescent="0.3">
      <c r="A69" s="295" t="s">
        <v>70</v>
      </c>
      <c r="B69" s="296"/>
      <c r="C69" s="297"/>
      <c r="D69" s="11"/>
      <c r="E69" s="82"/>
      <c r="F69" s="82"/>
      <c r="G69" s="82"/>
      <c r="H69" s="83"/>
      <c r="I69" s="93"/>
      <c r="J69" s="82"/>
      <c r="K69" s="82"/>
      <c r="L69" s="82"/>
      <c r="M69" s="83"/>
      <c r="N69" s="93"/>
      <c r="O69" s="103"/>
      <c r="P69" s="87"/>
    </row>
    <row r="70" spans="1:16" ht="15.5" customHeight="1" x14ac:dyDescent="0.3">
      <c r="A70" s="308" t="s">
        <v>74</v>
      </c>
      <c r="B70" s="309"/>
      <c r="C70" s="310"/>
      <c r="D70" s="11"/>
      <c r="E70" s="61"/>
      <c r="F70" s="61"/>
      <c r="G70" s="61"/>
      <c r="H70" s="61"/>
      <c r="I70" s="62">
        <f>SUM(E70:H70)</f>
        <v>0</v>
      </c>
      <c r="J70" s="61" t="s">
        <v>170</v>
      </c>
      <c r="K70" s="61"/>
      <c r="L70" s="61"/>
      <c r="M70" s="61"/>
      <c r="N70" s="62">
        <f>SUM(J70:M70)</f>
        <v>0</v>
      </c>
      <c r="O70" s="12">
        <f t="shared" si="0"/>
        <v>0</v>
      </c>
      <c r="P70" s="11"/>
    </row>
    <row r="71" spans="1:16" ht="15.5" customHeight="1" x14ac:dyDescent="0.3">
      <c r="A71" s="308" t="s">
        <v>71</v>
      </c>
      <c r="B71" s="309"/>
      <c r="C71" s="310"/>
      <c r="D71" s="11"/>
      <c r="E71" s="61"/>
      <c r="F71" s="61"/>
      <c r="G71" s="61"/>
      <c r="H71" s="63"/>
      <c r="I71" s="62">
        <f t="shared" ref="I71:I72" si="8">SUM(E71:H71)</f>
        <v>0</v>
      </c>
      <c r="J71" s="61" t="s">
        <v>170</v>
      </c>
      <c r="K71" s="61"/>
      <c r="L71" s="61"/>
      <c r="M71" s="63"/>
      <c r="N71" s="62">
        <f t="shared" ref="N71:N72" si="9">SUM(J71:M71)</f>
        <v>0</v>
      </c>
      <c r="O71" s="12">
        <f t="shared" si="0"/>
        <v>0</v>
      </c>
      <c r="P71" s="11"/>
    </row>
    <row r="72" spans="1:16" ht="15.5" customHeight="1" x14ac:dyDescent="0.3">
      <c r="A72" s="308" t="s">
        <v>72</v>
      </c>
      <c r="B72" s="309"/>
      <c r="C72" s="310"/>
      <c r="D72" s="11"/>
      <c r="E72" s="12"/>
      <c r="F72" s="12"/>
      <c r="G72" s="12"/>
      <c r="H72" s="26"/>
      <c r="I72" s="62">
        <f t="shared" si="8"/>
        <v>0</v>
      </c>
      <c r="J72" s="12" t="s">
        <v>170</v>
      </c>
      <c r="K72" s="12"/>
      <c r="L72" s="12"/>
      <c r="M72" s="26"/>
      <c r="N72" s="62">
        <f t="shared" si="9"/>
        <v>0</v>
      </c>
      <c r="O72" s="12">
        <f t="shared" si="0"/>
        <v>0</v>
      </c>
      <c r="P72" s="11"/>
    </row>
    <row r="73" spans="1:16" ht="15.5" customHeight="1" x14ac:dyDescent="0.3">
      <c r="A73" s="214"/>
      <c r="B73" s="215"/>
      <c r="C73" s="216"/>
      <c r="D73" s="11"/>
      <c r="E73" s="12"/>
      <c r="F73" s="12"/>
      <c r="G73" s="12"/>
      <c r="H73" s="26"/>
      <c r="I73" s="62"/>
      <c r="J73" s="12"/>
      <c r="K73" s="12"/>
      <c r="L73" s="12"/>
      <c r="M73" s="26"/>
      <c r="N73" s="62"/>
      <c r="O73" s="12"/>
      <c r="P73" s="11"/>
    </row>
    <row r="74" spans="1:16" x14ac:dyDescent="0.3">
      <c r="A74" s="295" t="s">
        <v>73</v>
      </c>
      <c r="B74" s="296"/>
      <c r="C74" s="297"/>
      <c r="D74" s="11"/>
      <c r="E74" s="12"/>
      <c r="F74" s="12"/>
      <c r="G74" s="12"/>
      <c r="H74" s="26"/>
      <c r="I74" s="62">
        <f>SUM(E74:H74)</f>
        <v>0</v>
      </c>
      <c r="J74" s="12" t="s">
        <v>170</v>
      </c>
      <c r="K74" s="12"/>
      <c r="L74" s="12"/>
      <c r="M74" s="26"/>
      <c r="N74" s="62">
        <f>SUM(J74:M74)</f>
        <v>0</v>
      </c>
      <c r="O74" s="12">
        <f t="shared" si="0"/>
        <v>0</v>
      </c>
      <c r="P74" s="11"/>
    </row>
    <row r="75" spans="1:16" ht="15.5" customHeight="1" x14ac:dyDescent="0.3">
      <c r="A75" s="214"/>
      <c r="B75" s="215"/>
      <c r="C75" s="216"/>
      <c r="D75" s="11"/>
      <c r="E75" s="12"/>
      <c r="F75" s="12"/>
      <c r="G75" s="12"/>
      <c r="H75" s="26"/>
      <c r="I75" s="13"/>
      <c r="J75" s="12"/>
      <c r="K75" s="12"/>
      <c r="L75" s="12"/>
      <c r="M75" s="26"/>
      <c r="N75" s="13"/>
      <c r="O75" s="104"/>
      <c r="P75" s="11"/>
    </row>
    <row r="76" spans="1:16" x14ac:dyDescent="0.3">
      <c r="A76" s="208" t="s">
        <v>42</v>
      </c>
      <c r="B76" s="209"/>
      <c r="C76" s="210"/>
      <c r="D76" s="19">
        <v>310300000000000</v>
      </c>
      <c r="E76" s="34"/>
      <c r="F76" s="34"/>
      <c r="G76" s="34"/>
      <c r="H76" s="29"/>
      <c r="I76" s="51"/>
      <c r="J76" s="34"/>
      <c r="K76" s="34"/>
      <c r="L76" s="34"/>
      <c r="M76" s="29"/>
      <c r="N76" s="51"/>
      <c r="O76" s="71"/>
      <c r="P76" s="9"/>
    </row>
    <row r="77" spans="1:16" x14ac:dyDescent="0.3">
      <c r="A77" s="211" t="s">
        <v>23</v>
      </c>
      <c r="B77" s="212"/>
      <c r="C77" s="213"/>
      <c r="D77" s="11"/>
      <c r="E77" s="82"/>
      <c r="F77" s="82"/>
      <c r="G77" s="82"/>
      <c r="H77" s="83"/>
      <c r="I77" s="93"/>
      <c r="J77" s="82"/>
      <c r="K77" s="82"/>
      <c r="L77" s="82"/>
      <c r="M77" s="83"/>
      <c r="N77" s="93"/>
      <c r="O77" s="103"/>
      <c r="P77" s="87"/>
    </row>
    <row r="78" spans="1:16" ht="12.65" customHeight="1" x14ac:dyDescent="0.3">
      <c r="A78" s="243" t="s">
        <v>77</v>
      </c>
      <c r="B78" s="244"/>
      <c r="C78" s="245"/>
      <c r="D78" s="16"/>
      <c r="E78" s="82"/>
      <c r="F78" s="82"/>
      <c r="G78" s="82"/>
      <c r="H78" s="83"/>
      <c r="I78" s="86"/>
      <c r="J78" s="82"/>
      <c r="K78" s="82"/>
      <c r="L78" s="82"/>
      <c r="M78" s="83"/>
      <c r="N78" s="86"/>
      <c r="O78" s="103"/>
      <c r="P78" s="86"/>
    </row>
    <row r="79" spans="1:16" ht="15" customHeight="1" x14ac:dyDescent="0.3">
      <c r="A79" s="246" t="s">
        <v>78</v>
      </c>
      <c r="B79" s="247"/>
      <c r="C79" s="248"/>
      <c r="D79" s="11"/>
      <c r="E79" s="82"/>
      <c r="F79" s="82"/>
      <c r="G79" s="82"/>
      <c r="H79" s="65"/>
      <c r="I79" s="66">
        <f>H79</f>
        <v>0</v>
      </c>
      <c r="J79" s="82"/>
      <c r="K79" s="82"/>
      <c r="L79" s="82"/>
      <c r="M79" s="65"/>
      <c r="N79" s="66">
        <f>M79</f>
        <v>0</v>
      </c>
      <c r="O79" s="71">
        <f t="shared" si="0"/>
        <v>0</v>
      </c>
      <c r="P79" s="11"/>
    </row>
    <row r="80" spans="1:16" ht="15" customHeight="1" x14ac:dyDescent="0.3">
      <c r="A80" s="40"/>
      <c r="B80" s="41"/>
      <c r="C80" s="15" t="s">
        <v>108</v>
      </c>
      <c r="D80" s="11"/>
      <c r="E80" s="82"/>
      <c r="F80" s="82"/>
      <c r="G80" s="82"/>
      <c r="H80" s="63"/>
      <c r="I80" s="99">
        <f t="shared" ref="I80:I86" si="10">H80</f>
        <v>0</v>
      </c>
      <c r="J80" s="82"/>
      <c r="K80" s="82"/>
      <c r="L80" s="82"/>
      <c r="M80" s="63"/>
      <c r="N80" s="99">
        <f t="shared" ref="N80:N86" si="11">M80</f>
        <v>0</v>
      </c>
      <c r="O80" s="12">
        <f t="shared" si="0"/>
        <v>0</v>
      </c>
      <c r="P80" s="11"/>
    </row>
    <row r="81" spans="1:16" ht="30" customHeight="1" x14ac:dyDescent="0.3">
      <c r="A81" s="258" t="s">
        <v>76</v>
      </c>
      <c r="B81" s="259"/>
      <c r="C81" s="260"/>
      <c r="D81" s="11"/>
      <c r="E81" s="82"/>
      <c r="F81" s="82"/>
      <c r="G81" s="82"/>
      <c r="H81" s="65"/>
      <c r="I81" s="66">
        <f t="shared" si="10"/>
        <v>0</v>
      </c>
      <c r="J81" s="82"/>
      <c r="K81" s="82"/>
      <c r="L81" s="82"/>
      <c r="M81" s="65"/>
      <c r="N81" s="66">
        <f t="shared" si="11"/>
        <v>0</v>
      </c>
      <c r="O81" s="71">
        <f t="shared" si="0"/>
        <v>0</v>
      </c>
      <c r="P81" s="11"/>
    </row>
    <row r="82" spans="1:16" ht="15.5" customHeight="1" x14ac:dyDescent="0.3">
      <c r="A82" s="40"/>
      <c r="B82" s="41"/>
      <c r="C82" s="15" t="s">
        <v>108</v>
      </c>
      <c r="D82" s="11"/>
      <c r="E82" s="82"/>
      <c r="F82" s="82"/>
      <c r="G82" s="82"/>
      <c r="H82" s="63"/>
      <c r="I82" s="99">
        <f t="shared" si="10"/>
        <v>0</v>
      </c>
      <c r="J82" s="82"/>
      <c r="K82" s="82"/>
      <c r="L82" s="82"/>
      <c r="M82" s="63"/>
      <c r="N82" s="99">
        <f t="shared" si="11"/>
        <v>0</v>
      </c>
      <c r="O82" s="12">
        <f t="shared" si="0"/>
        <v>0</v>
      </c>
      <c r="P82" s="11"/>
    </row>
    <row r="83" spans="1:16" ht="15.5" customHeight="1" x14ac:dyDescent="0.3">
      <c r="A83" s="246" t="s">
        <v>79</v>
      </c>
      <c r="B83" s="247"/>
      <c r="C83" s="248"/>
      <c r="D83" s="11"/>
      <c r="E83" s="82"/>
      <c r="F83" s="82"/>
      <c r="G83" s="82"/>
      <c r="H83" s="65"/>
      <c r="I83" s="66">
        <f t="shared" si="10"/>
        <v>0</v>
      </c>
      <c r="J83" s="82"/>
      <c r="K83" s="82"/>
      <c r="L83" s="82"/>
      <c r="M83" s="65"/>
      <c r="N83" s="66">
        <f t="shared" si="11"/>
        <v>0</v>
      </c>
      <c r="O83" s="71">
        <f t="shared" si="0"/>
        <v>0</v>
      </c>
      <c r="P83" s="11"/>
    </row>
    <row r="84" spans="1:16" ht="15.5" customHeight="1" x14ac:dyDescent="0.3">
      <c r="A84" s="40"/>
      <c r="B84" s="41"/>
      <c r="C84" s="15" t="s">
        <v>108</v>
      </c>
      <c r="D84" s="11"/>
      <c r="E84" s="82"/>
      <c r="F84" s="82"/>
      <c r="G84" s="82"/>
      <c r="H84" s="63"/>
      <c r="I84" s="99">
        <f t="shared" si="10"/>
        <v>0</v>
      </c>
      <c r="J84" s="82"/>
      <c r="K84" s="82"/>
      <c r="L84" s="82"/>
      <c r="M84" s="63"/>
      <c r="N84" s="99">
        <f t="shared" si="11"/>
        <v>0</v>
      </c>
      <c r="O84" s="12">
        <f t="shared" si="0"/>
        <v>0</v>
      </c>
      <c r="P84" s="11"/>
    </row>
    <row r="85" spans="1:16" ht="15.5" customHeight="1" x14ac:dyDescent="0.3">
      <c r="A85" s="246" t="s">
        <v>81</v>
      </c>
      <c r="B85" s="247"/>
      <c r="C85" s="248"/>
      <c r="D85" s="11"/>
      <c r="E85" s="82"/>
      <c r="F85" s="82"/>
      <c r="G85" s="82"/>
      <c r="H85" s="65"/>
      <c r="I85" s="66">
        <f t="shared" si="10"/>
        <v>0</v>
      </c>
      <c r="J85" s="82"/>
      <c r="K85" s="82"/>
      <c r="L85" s="82"/>
      <c r="M85" s="65"/>
      <c r="N85" s="66">
        <f t="shared" si="11"/>
        <v>0</v>
      </c>
      <c r="O85" s="71">
        <f t="shared" ref="O85:O128" si="12">N85-I85</f>
        <v>0</v>
      </c>
      <c r="P85" s="11"/>
    </row>
    <row r="86" spans="1:16" ht="15.5" customHeight="1" x14ac:dyDescent="0.3">
      <c r="A86" s="37"/>
      <c r="B86" s="38"/>
      <c r="C86" s="15" t="s">
        <v>108</v>
      </c>
      <c r="D86" s="11"/>
      <c r="E86" s="82"/>
      <c r="F86" s="82"/>
      <c r="G86" s="82"/>
      <c r="H86" s="63"/>
      <c r="I86" s="99">
        <f t="shared" si="10"/>
        <v>0</v>
      </c>
      <c r="J86" s="82"/>
      <c r="K86" s="82"/>
      <c r="L86" s="82"/>
      <c r="M86" s="63"/>
      <c r="N86" s="99">
        <f t="shared" si="11"/>
        <v>0</v>
      </c>
      <c r="O86" s="12">
        <f t="shared" si="12"/>
        <v>0</v>
      </c>
      <c r="P86" s="11"/>
    </row>
    <row r="87" spans="1:16" ht="15.5" customHeight="1" x14ac:dyDescent="0.3">
      <c r="A87" s="214"/>
      <c r="B87" s="215"/>
      <c r="C87" s="216"/>
      <c r="D87" s="11"/>
      <c r="E87" s="12"/>
      <c r="F87" s="12"/>
      <c r="G87" s="12"/>
      <c r="H87" s="63"/>
      <c r="I87" s="13"/>
      <c r="J87" s="12"/>
      <c r="K87" s="12"/>
      <c r="L87" s="12"/>
      <c r="M87" s="63"/>
      <c r="N87" s="13"/>
      <c r="O87" s="71"/>
      <c r="P87" s="11"/>
    </row>
    <row r="88" spans="1:16" ht="13" customHeight="1" x14ac:dyDescent="0.3">
      <c r="A88" s="261" t="s">
        <v>80</v>
      </c>
      <c r="B88" s="262"/>
      <c r="C88" s="263"/>
      <c r="D88" s="16"/>
      <c r="E88" s="82"/>
      <c r="F88" s="82"/>
      <c r="G88" s="82"/>
      <c r="H88" s="64"/>
      <c r="I88" s="66">
        <f>H88</f>
        <v>0</v>
      </c>
      <c r="J88" s="82"/>
      <c r="K88" s="82"/>
      <c r="L88" s="82"/>
      <c r="M88" s="64"/>
      <c r="N88" s="66">
        <f>M88</f>
        <v>0</v>
      </c>
      <c r="O88" s="71">
        <f t="shared" si="12"/>
        <v>0</v>
      </c>
      <c r="P88" s="16"/>
    </row>
    <row r="89" spans="1:16" ht="15.5" customHeight="1" x14ac:dyDescent="0.3">
      <c r="A89" s="214"/>
      <c r="B89" s="215"/>
      <c r="C89" s="216"/>
      <c r="D89" s="11"/>
      <c r="E89" s="12"/>
      <c r="F89" s="12"/>
      <c r="G89" s="12"/>
      <c r="H89" s="26"/>
      <c r="I89" s="13"/>
      <c r="J89" s="12"/>
      <c r="K89" s="12"/>
      <c r="L89" s="12"/>
      <c r="M89" s="26"/>
      <c r="N89" s="13"/>
      <c r="O89" s="71"/>
      <c r="P89" s="11"/>
    </row>
    <row r="90" spans="1:16" x14ac:dyDescent="0.3">
      <c r="A90" s="264" t="s">
        <v>59</v>
      </c>
      <c r="B90" s="265"/>
      <c r="C90" s="266"/>
      <c r="D90" s="11"/>
      <c r="E90" s="82"/>
      <c r="F90" s="82"/>
      <c r="G90" s="82"/>
      <c r="H90" s="83"/>
      <c r="I90" s="93"/>
      <c r="J90" s="82"/>
      <c r="K90" s="82"/>
      <c r="L90" s="82"/>
      <c r="M90" s="83"/>
      <c r="N90" s="93"/>
      <c r="O90" s="103"/>
      <c r="P90" s="87"/>
    </row>
    <row r="91" spans="1:16" x14ac:dyDescent="0.3">
      <c r="A91" s="264" t="s">
        <v>82</v>
      </c>
      <c r="B91" s="265"/>
      <c r="C91" s="266"/>
      <c r="D91" s="11"/>
      <c r="E91" s="82"/>
      <c r="F91" s="82"/>
      <c r="G91" s="82"/>
      <c r="H91" s="83"/>
      <c r="I91" s="93"/>
      <c r="J91" s="82"/>
      <c r="K91" s="82"/>
      <c r="L91" s="82"/>
      <c r="M91" s="83"/>
      <c r="N91" s="93"/>
      <c r="O91" s="103"/>
      <c r="P91" s="87"/>
    </row>
    <row r="92" spans="1:16" ht="15.5" customHeight="1" x14ac:dyDescent="0.3">
      <c r="A92" s="246" t="s">
        <v>83</v>
      </c>
      <c r="B92" s="247"/>
      <c r="C92" s="248"/>
      <c r="D92" s="11"/>
      <c r="E92" s="82"/>
      <c r="F92" s="82"/>
      <c r="G92" s="26"/>
      <c r="H92" s="83"/>
      <c r="I92" s="13">
        <f>G92</f>
        <v>0</v>
      </c>
      <c r="J92" s="82"/>
      <c r="K92" s="82"/>
      <c r="L92" s="26"/>
      <c r="M92" s="83"/>
      <c r="N92" s="13">
        <f>L92</f>
        <v>0</v>
      </c>
      <c r="O92" s="12">
        <f t="shared" si="12"/>
        <v>0</v>
      </c>
      <c r="P92" s="11"/>
    </row>
    <row r="93" spans="1:16" ht="15.5" customHeight="1" x14ac:dyDescent="0.3">
      <c r="A93" s="246" t="s">
        <v>84</v>
      </c>
      <c r="B93" s="247"/>
      <c r="C93" s="248"/>
      <c r="D93" s="11"/>
      <c r="E93" s="82"/>
      <c r="F93" s="82"/>
      <c r="G93" s="26"/>
      <c r="H93" s="83"/>
      <c r="I93" s="13">
        <f t="shared" ref="I93:I96" si="13">G93</f>
        <v>0</v>
      </c>
      <c r="J93" s="82"/>
      <c r="K93" s="82"/>
      <c r="L93" s="26"/>
      <c r="M93" s="83"/>
      <c r="N93" s="13">
        <f t="shared" ref="N93:N96" si="14">L93</f>
        <v>0</v>
      </c>
      <c r="O93" s="12">
        <f t="shared" si="12"/>
        <v>0</v>
      </c>
      <c r="P93" s="11"/>
    </row>
    <row r="94" spans="1:16" ht="15.5" customHeight="1" x14ac:dyDescent="0.3">
      <c r="A94" s="246" t="s">
        <v>85</v>
      </c>
      <c r="B94" s="247"/>
      <c r="C94" s="248"/>
      <c r="D94" s="11"/>
      <c r="E94" s="82"/>
      <c r="F94" s="82"/>
      <c r="G94" s="26"/>
      <c r="H94" s="83"/>
      <c r="I94" s="13">
        <f t="shared" si="13"/>
        <v>0</v>
      </c>
      <c r="J94" s="82"/>
      <c r="K94" s="82"/>
      <c r="L94" s="26"/>
      <c r="M94" s="83"/>
      <c r="N94" s="13">
        <f t="shared" si="14"/>
        <v>0</v>
      </c>
      <c r="O94" s="12">
        <f t="shared" si="12"/>
        <v>0</v>
      </c>
      <c r="P94" s="11"/>
    </row>
    <row r="95" spans="1:16" ht="34.75" customHeight="1" x14ac:dyDescent="0.3">
      <c r="A95" s="252" t="s">
        <v>112</v>
      </c>
      <c r="B95" s="253"/>
      <c r="C95" s="254"/>
      <c r="D95" s="11"/>
      <c r="E95" s="82"/>
      <c r="F95" s="82"/>
      <c r="G95" s="26"/>
      <c r="H95" s="83"/>
      <c r="I95" s="13">
        <f t="shared" si="13"/>
        <v>0</v>
      </c>
      <c r="J95" s="82"/>
      <c r="K95" s="82"/>
      <c r="L95" s="26"/>
      <c r="M95" s="83"/>
      <c r="N95" s="13">
        <f t="shared" si="14"/>
        <v>0</v>
      </c>
      <c r="O95" s="12">
        <f t="shared" si="12"/>
        <v>0</v>
      </c>
      <c r="P95" s="11"/>
    </row>
    <row r="96" spans="1:16" x14ac:dyDescent="0.3">
      <c r="A96" s="252" t="s">
        <v>65</v>
      </c>
      <c r="B96" s="253"/>
      <c r="C96" s="254"/>
      <c r="D96" s="11"/>
      <c r="E96" s="82"/>
      <c r="F96" s="82"/>
      <c r="G96" s="68"/>
      <c r="H96" s="84"/>
      <c r="I96" s="13">
        <f t="shared" si="13"/>
        <v>0</v>
      </c>
      <c r="J96" s="82"/>
      <c r="K96" s="82"/>
      <c r="L96" s="68"/>
      <c r="M96" s="84"/>
      <c r="N96" s="13">
        <f t="shared" si="14"/>
        <v>0</v>
      </c>
      <c r="O96" s="12">
        <f t="shared" si="12"/>
        <v>0</v>
      </c>
      <c r="P96" s="11"/>
    </row>
    <row r="97" spans="1:16" x14ac:dyDescent="0.3">
      <c r="A97" s="211"/>
      <c r="B97" s="212"/>
      <c r="C97" s="213"/>
      <c r="D97" s="11"/>
      <c r="E97" s="12"/>
      <c r="F97" s="12"/>
      <c r="G97" s="12"/>
      <c r="H97" s="26"/>
      <c r="I97" s="16"/>
      <c r="J97" s="12"/>
      <c r="K97" s="12"/>
      <c r="L97" s="12"/>
      <c r="M97" s="26"/>
      <c r="N97" s="16"/>
      <c r="O97" s="104"/>
      <c r="P97" s="11"/>
    </row>
    <row r="98" spans="1:16" x14ac:dyDescent="0.3">
      <c r="A98" s="208" t="s">
        <v>41</v>
      </c>
      <c r="B98" s="209"/>
      <c r="C98" s="210"/>
      <c r="D98" s="19">
        <v>310400000000000</v>
      </c>
      <c r="E98" s="34"/>
      <c r="F98" s="34"/>
      <c r="G98" s="34"/>
      <c r="H98" s="29"/>
      <c r="I98" s="51"/>
      <c r="J98" s="9"/>
      <c r="K98" s="9"/>
      <c r="L98" s="9"/>
      <c r="M98" s="9"/>
      <c r="N98" s="9"/>
      <c r="O98" s="71"/>
      <c r="P98" s="9"/>
    </row>
    <row r="99" spans="1:16" x14ac:dyDescent="0.3">
      <c r="A99" s="211" t="s">
        <v>86</v>
      </c>
      <c r="B99" s="212"/>
      <c r="C99" s="213"/>
      <c r="D99" s="11"/>
      <c r="E99" s="82"/>
      <c r="F99" s="82"/>
      <c r="G99" s="82"/>
      <c r="H99" s="83"/>
      <c r="I99" s="93"/>
      <c r="J99" s="87"/>
      <c r="K99" s="87"/>
      <c r="L99" s="87"/>
      <c r="M99" s="87"/>
      <c r="N99" s="87"/>
      <c r="O99" s="103"/>
      <c r="P99" s="87"/>
    </row>
    <row r="100" spans="1:16" ht="13" customHeight="1" x14ac:dyDescent="0.3">
      <c r="A100" s="243" t="s">
        <v>87</v>
      </c>
      <c r="B100" s="244"/>
      <c r="C100" s="245"/>
      <c r="D100" s="16"/>
      <c r="E100" s="82"/>
      <c r="F100" s="82"/>
      <c r="G100" s="82"/>
      <c r="H100" s="83"/>
      <c r="I100" s="86"/>
      <c r="J100" s="86"/>
      <c r="K100" s="86"/>
      <c r="L100" s="86"/>
      <c r="M100" s="86"/>
      <c r="N100" s="86"/>
      <c r="O100" s="103"/>
      <c r="P100" s="86"/>
    </row>
    <row r="101" spans="1:16" ht="15.5" customHeight="1" x14ac:dyDescent="0.3">
      <c r="A101" s="246" t="s">
        <v>56</v>
      </c>
      <c r="B101" s="247"/>
      <c r="C101" s="248"/>
      <c r="D101" s="11"/>
      <c r="E101" s="82"/>
      <c r="F101" s="82"/>
      <c r="G101" s="82"/>
      <c r="H101" s="68"/>
      <c r="I101" s="96">
        <f>H101</f>
        <v>0</v>
      </c>
      <c r="J101" s="82"/>
      <c r="K101" s="82"/>
      <c r="L101" s="82"/>
      <c r="M101" s="101"/>
      <c r="N101" s="102">
        <f>M101</f>
        <v>0</v>
      </c>
      <c r="O101" s="71">
        <f t="shared" si="12"/>
        <v>0</v>
      </c>
      <c r="P101" s="11"/>
    </row>
    <row r="102" spans="1:16" ht="15.5" customHeight="1" x14ac:dyDescent="0.3">
      <c r="A102" s="246" t="s">
        <v>88</v>
      </c>
      <c r="B102" s="247"/>
      <c r="C102" s="248"/>
      <c r="D102" s="11"/>
      <c r="E102" s="82"/>
      <c r="F102" s="82"/>
      <c r="G102" s="82"/>
      <c r="H102" s="31"/>
      <c r="I102" s="96">
        <f>H102</f>
        <v>0</v>
      </c>
      <c r="J102" s="82"/>
      <c r="K102" s="82"/>
      <c r="L102" s="82"/>
      <c r="M102" s="101"/>
      <c r="N102" s="102">
        <f>M102</f>
        <v>0</v>
      </c>
      <c r="O102" s="71">
        <f t="shared" si="12"/>
        <v>0</v>
      </c>
      <c r="P102" s="11"/>
    </row>
    <row r="103" spans="1:16" ht="13" customHeight="1" x14ac:dyDescent="0.3">
      <c r="A103" s="243" t="s">
        <v>89</v>
      </c>
      <c r="B103" s="244"/>
      <c r="C103" s="245"/>
      <c r="D103" s="16"/>
      <c r="E103" s="82"/>
      <c r="F103" s="82"/>
      <c r="G103" s="82"/>
      <c r="H103" s="100"/>
      <c r="I103" s="86"/>
      <c r="J103" s="82"/>
      <c r="K103" s="82"/>
      <c r="L103" s="82"/>
      <c r="M103" s="86"/>
      <c r="N103" s="86"/>
      <c r="O103" s="103"/>
      <c r="P103" s="86"/>
    </row>
    <row r="104" spans="1:16" ht="15.5" customHeight="1" x14ac:dyDescent="0.3">
      <c r="A104" s="246" t="s">
        <v>56</v>
      </c>
      <c r="B104" s="247"/>
      <c r="C104" s="248"/>
      <c r="D104" s="11"/>
      <c r="E104" s="82"/>
      <c r="F104" s="82"/>
      <c r="G104" s="82"/>
      <c r="H104" s="31"/>
      <c r="I104" s="96">
        <f>H104</f>
        <v>0</v>
      </c>
      <c r="J104" s="82"/>
      <c r="K104" s="82"/>
      <c r="L104" s="82"/>
      <c r="M104" s="101"/>
      <c r="N104" s="71">
        <f>M104</f>
        <v>0</v>
      </c>
      <c r="O104" s="71">
        <f t="shared" si="12"/>
        <v>0</v>
      </c>
      <c r="P104" s="11"/>
    </row>
    <row r="105" spans="1:16" ht="15.5" customHeight="1" x14ac:dyDescent="0.3">
      <c r="A105" s="246" t="s">
        <v>88</v>
      </c>
      <c r="B105" s="247"/>
      <c r="C105" s="248"/>
      <c r="D105" s="11"/>
      <c r="E105" s="82"/>
      <c r="F105" s="82"/>
      <c r="G105" s="82"/>
      <c r="H105" s="31"/>
      <c r="I105" s="96">
        <f>H105</f>
        <v>0</v>
      </c>
      <c r="J105" s="82"/>
      <c r="K105" s="82"/>
      <c r="L105" s="82"/>
      <c r="M105" s="101"/>
      <c r="N105" s="71">
        <f>M105</f>
        <v>0</v>
      </c>
      <c r="O105" s="71">
        <f t="shared" si="12"/>
        <v>0</v>
      </c>
      <c r="P105" s="11"/>
    </row>
    <row r="106" spans="1:16" ht="27.65" customHeight="1" x14ac:dyDescent="0.3">
      <c r="A106" s="243" t="s">
        <v>90</v>
      </c>
      <c r="B106" s="244"/>
      <c r="C106" s="245"/>
      <c r="D106" s="16"/>
      <c r="E106" s="82"/>
      <c r="F106" s="82"/>
      <c r="G106" s="82"/>
      <c r="H106" s="83"/>
      <c r="I106" s="86"/>
      <c r="J106" s="86"/>
      <c r="K106" s="86"/>
      <c r="L106" s="86"/>
      <c r="M106" s="86"/>
      <c r="N106" s="86"/>
      <c r="O106" s="103"/>
      <c r="P106" s="86"/>
    </row>
    <row r="107" spans="1:16" ht="15.5" customHeight="1" x14ac:dyDescent="0.3">
      <c r="A107" s="246" t="s">
        <v>91</v>
      </c>
      <c r="B107" s="247"/>
      <c r="C107" s="248"/>
      <c r="D107" s="11"/>
      <c r="E107" s="109">
        <v>1</v>
      </c>
      <c r="F107" s="82"/>
      <c r="G107" s="82"/>
      <c r="H107" s="83"/>
      <c r="I107" s="96">
        <f>E107</f>
        <v>1</v>
      </c>
      <c r="J107" s="156" t="s">
        <v>170</v>
      </c>
      <c r="K107" s="82"/>
      <c r="L107" s="82"/>
      <c r="M107" s="83"/>
      <c r="N107" s="71" t="str">
        <f>J107</f>
        <v>-</v>
      </c>
      <c r="O107" s="71" t="e">
        <f t="shared" si="12"/>
        <v>#VALUE!</v>
      </c>
      <c r="P107" s="11"/>
    </row>
    <row r="108" spans="1:16" ht="15.5" customHeight="1" x14ac:dyDescent="0.3">
      <c r="A108" s="246" t="s">
        <v>92</v>
      </c>
      <c r="B108" s="247"/>
      <c r="C108" s="248"/>
      <c r="D108" s="11"/>
      <c r="E108" s="109">
        <v>1</v>
      </c>
      <c r="F108" s="82"/>
      <c r="G108" s="82"/>
      <c r="H108" s="83"/>
      <c r="I108" s="96">
        <f t="shared" ref="I108:I109" si="15">E108</f>
        <v>1</v>
      </c>
      <c r="J108" s="156" t="s">
        <v>170</v>
      </c>
      <c r="K108" s="82"/>
      <c r="L108" s="82"/>
      <c r="M108" s="83"/>
      <c r="N108" s="71" t="str">
        <f t="shared" ref="N108:N109" si="16">J108</f>
        <v>-</v>
      </c>
      <c r="O108" s="71" t="e">
        <f t="shared" si="12"/>
        <v>#VALUE!</v>
      </c>
      <c r="P108" s="11"/>
    </row>
    <row r="109" spans="1:16" ht="15.5" customHeight="1" x14ac:dyDescent="0.3">
      <c r="A109" s="246" t="s">
        <v>93</v>
      </c>
      <c r="B109" s="247"/>
      <c r="C109" s="248"/>
      <c r="D109" s="11"/>
      <c r="E109" s="109">
        <v>1</v>
      </c>
      <c r="F109" s="82"/>
      <c r="G109" s="82"/>
      <c r="H109" s="83"/>
      <c r="I109" s="96">
        <f t="shared" si="15"/>
        <v>1</v>
      </c>
      <c r="J109" s="156" t="s">
        <v>170</v>
      </c>
      <c r="K109" s="82"/>
      <c r="L109" s="82"/>
      <c r="M109" s="83"/>
      <c r="N109" s="71" t="str">
        <f t="shared" si="16"/>
        <v>-</v>
      </c>
      <c r="O109" s="71" t="e">
        <f t="shared" si="12"/>
        <v>#VALUE!</v>
      </c>
      <c r="P109" s="11"/>
    </row>
    <row r="110" spans="1:16" ht="15.5" customHeight="1" x14ac:dyDescent="0.3">
      <c r="A110" s="14"/>
      <c r="B110" s="3"/>
      <c r="C110" s="15"/>
      <c r="D110" s="11"/>
      <c r="E110" s="12"/>
      <c r="F110" s="12"/>
      <c r="G110" s="12"/>
      <c r="H110" s="26"/>
      <c r="I110" s="13"/>
      <c r="J110" s="11"/>
      <c r="K110" s="11"/>
      <c r="L110" s="11"/>
      <c r="M110" s="11"/>
      <c r="N110" s="11"/>
      <c r="O110" s="71"/>
      <c r="P110" s="11"/>
    </row>
    <row r="111" spans="1:16" x14ac:dyDescent="0.3">
      <c r="A111" s="211" t="s">
        <v>24</v>
      </c>
      <c r="B111" s="212"/>
      <c r="C111" s="213"/>
      <c r="D111" s="11"/>
      <c r="E111" s="82"/>
      <c r="F111" s="82"/>
      <c r="G111" s="82"/>
      <c r="H111" s="83"/>
      <c r="I111" s="93"/>
      <c r="J111" s="87"/>
      <c r="K111" s="87"/>
      <c r="L111" s="87"/>
      <c r="M111" s="87"/>
      <c r="N111" s="87"/>
      <c r="O111" s="103"/>
      <c r="P111" s="87"/>
    </row>
    <row r="112" spans="1:16" s="22" customFormat="1" ht="22.25" customHeight="1" x14ac:dyDescent="0.3">
      <c r="A112" s="252" t="s">
        <v>94</v>
      </c>
      <c r="B112" s="253"/>
      <c r="C112" s="254"/>
      <c r="D112" s="16"/>
      <c r="E112" s="82"/>
      <c r="F112" s="82"/>
      <c r="G112" s="82"/>
      <c r="H112" s="83"/>
      <c r="I112" s="86"/>
      <c r="J112" s="86"/>
      <c r="K112" s="86"/>
      <c r="L112" s="86"/>
      <c r="M112" s="86"/>
      <c r="N112" s="86"/>
      <c r="O112" s="103"/>
      <c r="P112" s="86"/>
    </row>
    <row r="113" spans="1:16" ht="15.5" customHeight="1" x14ac:dyDescent="0.3">
      <c r="A113" s="211" t="s">
        <v>28</v>
      </c>
      <c r="B113" s="212"/>
      <c r="C113" s="213"/>
      <c r="D113" s="11"/>
      <c r="E113" s="82"/>
      <c r="F113" s="82"/>
      <c r="G113" s="82"/>
      <c r="H113" s="63"/>
      <c r="I113" s="13">
        <f>H113</f>
        <v>0</v>
      </c>
      <c r="J113" s="82"/>
      <c r="K113" s="82"/>
      <c r="L113" s="82"/>
      <c r="M113" s="11"/>
      <c r="N113" s="12">
        <f>M113</f>
        <v>0</v>
      </c>
      <c r="O113" s="12">
        <f t="shared" si="12"/>
        <v>0</v>
      </c>
      <c r="P113" s="11"/>
    </row>
    <row r="114" spans="1:16" ht="15.5" customHeight="1" x14ac:dyDescent="0.3">
      <c r="A114" s="211" t="s">
        <v>29</v>
      </c>
      <c r="B114" s="212"/>
      <c r="C114" s="213"/>
      <c r="D114" s="11"/>
      <c r="E114" s="82"/>
      <c r="F114" s="82"/>
      <c r="G114" s="82"/>
      <c r="H114" s="63"/>
      <c r="I114" s="13">
        <f>H114</f>
        <v>0</v>
      </c>
      <c r="J114" s="82"/>
      <c r="K114" s="82"/>
      <c r="L114" s="82"/>
      <c r="M114" s="11"/>
      <c r="N114" s="12">
        <f>M114</f>
        <v>0</v>
      </c>
      <c r="O114" s="12">
        <f t="shared" si="12"/>
        <v>0</v>
      </c>
      <c r="P114" s="11"/>
    </row>
    <row r="115" spans="1:16" ht="15.5" customHeight="1" x14ac:dyDescent="0.3">
      <c r="A115" s="14"/>
      <c r="B115" s="3"/>
      <c r="C115" s="15"/>
      <c r="D115" s="11"/>
      <c r="E115" s="12"/>
      <c r="F115" s="12"/>
      <c r="G115" s="12"/>
      <c r="H115" s="26"/>
      <c r="I115" s="13"/>
      <c r="J115" s="11"/>
      <c r="K115" s="11"/>
      <c r="L115" s="11"/>
      <c r="M115" s="11"/>
      <c r="N115" s="11"/>
      <c r="O115" s="71"/>
      <c r="P115" s="11"/>
    </row>
    <row r="116" spans="1:16" ht="13" customHeight="1" x14ac:dyDescent="0.3">
      <c r="A116" s="243" t="s">
        <v>95</v>
      </c>
      <c r="B116" s="244"/>
      <c r="C116" s="245"/>
      <c r="D116" s="11"/>
      <c r="E116" s="82"/>
      <c r="F116" s="82"/>
      <c r="G116" s="82"/>
      <c r="H116" s="83"/>
      <c r="I116" s="86"/>
      <c r="J116" s="87"/>
      <c r="K116" s="87"/>
      <c r="L116" s="87"/>
      <c r="M116" s="87"/>
      <c r="N116" s="87"/>
      <c r="O116" s="103"/>
      <c r="P116" s="87"/>
    </row>
    <row r="117" spans="1:16" ht="15.5" customHeight="1" x14ac:dyDescent="0.3">
      <c r="A117" s="211" t="s">
        <v>30</v>
      </c>
      <c r="B117" s="212"/>
      <c r="C117" s="213"/>
      <c r="D117" s="11"/>
      <c r="E117" s="82"/>
      <c r="F117" s="82"/>
      <c r="G117" s="82"/>
      <c r="H117" s="26"/>
      <c r="I117" s="13">
        <f>H117</f>
        <v>0</v>
      </c>
      <c r="J117" s="82"/>
      <c r="K117" s="82"/>
      <c r="L117" s="82"/>
      <c r="M117" s="11"/>
      <c r="N117" s="12">
        <f>M117</f>
        <v>0</v>
      </c>
      <c r="O117" s="12">
        <f t="shared" si="12"/>
        <v>0</v>
      </c>
      <c r="P117" s="11"/>
    </row>
    <row r="118" spans="1:16" ht="15.5" customHeight="1" x14ac:dyDescent="0.3">
      <c r="A118" s="211" t="s">
        <v>31</v>
      </c>
      <c r="B118" s="212"/>
      <c r="C118" s="213"/>
      <c r="D118" s="11"/>
      <c r="E118" s="82"/>
      <c r="F118" s="82"/>
      <c r="G118" s="82"/>
      <c r="H118" s="26"/>
      <c r="I118" s="13">
        <f t="shared" ref="I118:I119" si="17">H118</f>
        <v>0</v>
      </c>
      <c r="J118" s="82"/>
      <c r="K118" s="82"/>
      <c r="L118" s="82"/>
      <c r="M118" s="11"/>
      <c r="N118" s="12">
        <f t="shared" ref="N118:N119" si="18">M118</f>
        <v>0</v>
      </c>
      <c r="O118" s="12">
        <f t="shared" si="12"/>
        <v>0</v>
      </c>
      <c r="P118" s="11"/>
    </row>
    <row r="119" spans="1:16" ht="15.5" customHeight="1" x14ac:dyDescent="0.3">
      <c r="A119" s="211" t="s">
        <v>32</v>
      </c>
      <c r="B119" s="212"/>
      <c r="C119" s="213"/>
      <c r="D119" s="11"/>
      <c r="E119" s="82"/>
      <c r="F119" s="82"/>
      <c r="G119" s="82"/>
      <c r="H119" s="26"/>
      <c r="I119" s="13">
        <f t="shared" si="17"/>
        <v>0</v>
      </c>
      <c r="J119" s="82"/>
      <c r="K119" s="82"/>
      <c r="L119" s="82"/>
      <c r="M119" s="11"/>
      <c r="N119" s="12">
        <f t="shared" si="18"/>
        <v>0</v>
      </c>
      <c r="O119" s="12">
        <f t="shared" si="12"/>
        <v>0</v>
      </c>
      <c r="P119" s="11"/>
    </row>
    <row r="120" spans="1:16" ht="13" customHeight="1" x14ac:dyDescent="0.3">
      <c r="A120" s="261"/>
      <c r="B120" s="262"/>
      <c r="C120" s="263"/>
      <c r="D120" s="16"/>
      <c r="E120" s="12"/>
      <c r="F120" s="12"/>
      <c r="G120" s="12"/>
      <c r="H120" s="26"/>
      <c r="I120" s="16"/>
      <c r="J120" s="16"/>
      <c r="K120" s="16"/>
      <c r="L120" s="16"/>
      <c r="M120" s="16"/>
      <c r="N120" s="16"/>
      <c r="O120" s="104"/>
      <c r="P120" s="16"/>
    </row>
    <row r="121" spans="1:16" x14ac:dyDescent="0.3">
      <c r="A121" s="208" t="s">
        <v>40</v>
      </c>
      <c r="B121" s="209"/>
      <c r="C121" s="210"/>
      <c r="D121" s="19">
        <v>310500000000000</v>
      </c>
      <c r="E121" s="105"/>
      <c r="F121" s="105"/>
      <c r="G121" s="105"/>
      <c r="H121" s="106"/>
      <c r="I121" s="107"/>
      <c r="J121" s="108"/>
      <c r="K121" s="108"/>
      <c r="L121" s="108"/>
      <c r="M121" s="108"/>
      <c r="N121" s="108"/>
      <c r="O121" s="103"/>
      <c r="P121" s="108"/>
    </row>
    <row r="122" spans="1:16" x14ac:dyDescent="0.3">
      <c r="A122" s="233" t="s">
        <v>86</v>
      </c>
      <c r="B122" s="234"/>
      <c r="C122" s="235"/>
      <c r="D122" s="87"/>
      <c r="E122" s="82"/>
      <c r="F122" s="82"/>
      <c r="G122" s="82"/>
      <c r="H122" s="83"/>
      <c r="I122" s="93"/>
      <c r="J122" s="87"/>
      <c r="K122" s="87"/>
      <c r="L122" s="87"/>
      <c r="M122" s="87"/>
      <c r="N122" s="87"/>
      <c r="O122" s="103"/>
      <c r="P122" s="87"/>
    </row>
    <row r="123" spans="1:16" s="10" customFormat="1" ht="28.25" customHeight="1" x14ac:dyDescent="0.35">
      <c r="A123" s="227" t="s">
        <v>96</v>
      </c>
      <c r="B123" s="228"/>
      <c r="C123" s="229"/>
      <c r="D123" s="12"/>
      <c r="E123" s="98"/>
      <c r="F123" s="98"/>
      <c r="G123" s="98"/>
      <c r="H123" s="68"/>
      <c r="I123" s="98" t="e">
        <f>AVERAGE(E123:H123)</f>
        <v>#DIV/0!</v>
      </c>
      <c r="J123" s="12" t="s">
        <v>170</v>
      </c>
      <c r="K123" s="12"/>
      <c r="L123" s="12"/>
      <c r="M123" s="12"/>
      <c r="N123" s="12" t="e">
        <f>AVERAGE(J123:M123)</f>
        <v>#DIV/0!</v>
      </c>
      <c r="O123" s="71" t="e">
        <f t="shared" si="12"/>
        <v>#DIV/0!</v>
      </c>
      <c r="P123" s="12"/>
    </row>
    <row r="124" spans="1:16" s="10" customFormat="1" ht="15.5" customHeight="1" x14ac:dyDescent="0.35">
      <c r="A124" s="72"/>
      <c r="B124" s="73"/>
      <c r="C124" s="74" t="s">
        <v>109</v>
      </c>
      <c r="D124" s="12"/>
      <c r="E124" s="98"/>
      <c r="F124" s="98"/>
      <c r="G124" s="98"/>
      <c r="H124" s="68"/>
      <c r="I124" s="98" t="e">
        <f>AVERAGE(E124:H124)</f>
        <v>#DIV/0!</v>
      </c>
      <c r="J124" s="71">
        <v>1</v>
      </c>
      <c r="K124" s="12"/>
      <c r="L124" s="12"/>
      <c r="M124" s="12"/>
      <c r="N124" s="12">
        <f>AVERAGE(J124:M124)</f>
        <v>1</v>
      </c>
      <c r="O124" s="71" t="e">
        <f t="shared" si="12"/>
        <v>#DIV/0!</v>
      </c>
      <c r="P124" s="12"/>
    </row>
    <row r="125" spans="1:16" s="10" customFormat="1" ht="15.5" customHeight="1" x14ac:dyDescent="0.35">
      <c r="A125" s="72"/>
      <c r="B125" s="73"/>
      <c r="C125" s="75" t="s">
        <v>110</v>
      </c>
      <c r="D125" s="12"/>
      <c r="E125" s="12"/>
      <c r="F125" s="12"/>
      <c r="G125" s="12"/>
      <c r="H125" s="26"/>
      <c r="I125" s="52" t="e">
        <f>AVERAGE(E125:H125)</f>
        <v>#DIV/0!</v>
      </c>
      <c r="J125" s="12">
        <v>215</v>
      </c>
      <c r="K125" s="12"/>
      <c r="L125" s="12"/>
      <c r="M125" s="12"/>
      <c r="N125" s="12">
        <f t="shared" ref="N125:N128" si="19">AVERAGE(J125:M125)</f>
        <v>215</v>
      </c>
      <c r="O125" s="71" t="e">
        <f t="shared" si="12"/>
        <v>#DIV/0!</v>
      </c>
      <c r="P125" s="12"/>
    </row>
    <row r="126" spans="1:16" s="10" customFormat="1" ht="15.5" customHeight="1" x14ac:dyDescent="0.35">
      <c r="A126" s="72"/>
      <c r="B126" s="73"/>
      <c r="C126" s="75" t="s">
        <v>56</v>
      </c>
      <c r="D126" s="12"/>
      <c r="E126" s="12"/>
      <c r="F126" s="12"/>
      <c r="G126" s="12"/>
      <c r="H126" s="26"/>
      <c r="I126" s="52" t="e">
        <f t="shared" ref="I126:I128" si="20">AVERAGE(E126:H126)</f>
        <v>#DIV/0!</v>
      </c>
      <c r="J126" s="12">
        <v>166</v>
      </c>
      <c r="K126" s="12"/>
      <c r="L126" s="12"/>
      <c r="M126" s="12"/>
      <c r="N126" s="12">
        <f t="shared" si="19"/>
        <v>166</v>
      </c>
      <c r="O126" s="71" t="e">
        <f t="shared" si="12"/>
        <v>#DIV/0!</v>
      </c>
      <c r="P126" s="12"/>
    </row>
    <row r="127" spans="1:16" s="10" customFormat="1" ht="15.5" customHeight="1" x14ac:dyDescent="0.35">
      <c r="A127" s="72"/>
      <c r="B127" s="73"/>
      <c r="C127" s="75" t="s">
        <v>57</v>
      </c>
      <c r="D127" s="12"/>
      <c r="E127" s="12"/>
      <c r="F127" s="12"/>
      <c r="G127" s="12"/>
      <c r="H127" s="26"/>
      <c r="I127" s="52" t="e">
        <f t="shared" si="20"/>
        <v>#DIV/0!</v>
      </c>
      <c r="J127" s="12">
        <v>48</v>
      </c>
      <c r="K127" s="12"/>
      <c r="L127" s="12"/>
      <c r="M127" s="12"/>
      <c r="N127" s="12">
        <f t="shared" si="19"/>
        <v>48</v>
      </c>
      <c r="O127" s="71" t="e">
        <f t="shared" si="12"/>
        <v>#DIV/0!</v>
      </c>
      <c r="P127" s="12"/>
    </row>
    <row r="128" spans="1:16" s="10" customFormat="1" ht="15.5" customHeight="1" x14ac:dyDescent="0.35">
      <c r="A128" s="72"/>
      <c r="B128" s="73"/>
      <c r="C128" s="75" t="s">
        <v>58</v>
      </c>
      <c r="D128" s="12"/>
      <c r="E128" s="12"/>
      <c r="F128" s="12"/>
      <c r="G128" s="12"/>
      <c r="H128" s="26"/>
      <c r="I128" s="52" t="e">
        <f t="shared" si="20"/>
        <v>#DIV/0!</v>
      </c>
      <c r="J128" s="12">
        <v>44</v>
      </c>
      <c r="K128" s="12"/>
      <c r="L128" s="12"/>
      <c r="M128" s="12"/>
      <c r="N128" s="12">
        <f t="shared" si="19"/>
        <v>44</v>
      </c>
      <c r="O128" s="71" t="e">
        <f t="shared" si="12"/>
        <v>#DIV/0!</v>
      </c>
      <c r="P128" s="12"/>
    </row>
    <row r="129" spans="1:16" s="10" customFormat="1" ht="15.5" customHeight="1" x14ac:dyDescent="0.35">
      <c r="A129" s="72"/>
      <c r="B129" s="73"/>
      <c r="C129" s="74"/>
      <c r="D129" s="12"/>
      <c r="E129" s="12"/>
      <c r="F129" s="12"/>
      <c r="G129" s="12"/>
      <c r="H129" s="26"/>
      <c r="I129" s="52"/>
      <c r="J129" s="12"/>
      <c r="K129" s="12"/>
      <c r="L129" s="12"/>
      <c r="M129" s="12"/>
      <c r="N129" s="12"/>
      <c r="O129" s="71"/>
      <c r="P129" s="12"/>
    </row>
    <row r="130" spans="1:16" x14ac:dyDescent="0.3">
      <c r="A130" s="224" t="s">
        <v>59</v>
      </c>
      <c r="B130" s="225"/>
      <c r="C130" s="226"/>
      <c r="D130" s="87"/>
      <c r="E130" s="82"/>
      <c r="F130" s="82"/>
      <c r="G130" s="82"/>
      <c r="H130" s="83"/>
      <c r="I130" s="93"/>
      <c r="J130" s="87"/>
      <c r="K130" s="87"/>
      <c r="L130" s="87"/>
      <c r="M130" s="87"/>
      <c r="N130" s="87"/>
      <c r="O130" s="103"/>
      <c r="P130" s="87"/>
    </row>
    <row r="131" spans="1:16" ht="31.25" customHeight="1" x14ac:dyDescent="0.3">
      <c r="A131" s="227" t="s">
        <v>97</v>
      </c>
      <c r="B131" s="228"/>
      <c r="C131" s="229"/>
      <c r="D131" s="16"/>
      <c r="E131" s="12"/>
      <c r="F131" s="12"/>
      <c r="G131" s="12"/>
      <c r="H131" s="26"/>
      <c r="I131" s="12"/>
      <c r="J131" s="12">
        <f>J132+J133</f>
        <v>289</v>
      </c>
      <c r="K131" s="12"/>
      <c r="L131" s="12"/>
      <c r="M131" s="12"/>
      <c r="N131" s="12"/>
      <c r="O131" s="12"/>
      <c r="P131" s="12"/>
    </row>
    <row r="132" spans="1:16" ht="14.5" customHeight="1" x14ac:dyDescent="0.3">
      <c r="A132" s="227" t="s">
        <v>113</v>
      </c>
      <c r="B132" s="228"/>
      <c r="C132" s="229"/>
      <c r="D132" s="16"/>
      <c r="E132" s="12"/>
      <c r="F132" s="12"/>
      <c r="G132" s="12"/>
      <c r="H132" s="26"/>
      <c r="I132" s="12">
        <f>SUM(E132:H132)</f>
        <v>0</v>
      </c>
      <c r="J132" s="16">
        <v>81</v>
      </c>
      <c r="K132" s="16"/>
      <c r="L132" s="16"/>
      <c r="M132" s="16"/>
      <c r="N132" s="12">
        <f>SUM(J132:M132)</f>
        <v>81</v>
      </c>
      <c r="O132" s="12">
        <f t="shared" ref="O132:O134" si="21">N132-I132</f>
        <v>81</v>
      </c>
      <c r="P132" s="16"/>
    </row>
    <row r="133" spans="1:16" ht="14.5" customHeight="1" x14ac:dyDescent="0.3">
      <c r="A133" s="227" t="s">
        <v>114</v>
      </c>
      <c r="B133" s="228"/>
      <c r="C133" s="229"/>
      <c r="D133" s="16"/>
      <c r="E133" s="12"/>
      <c r="F133" s="12"/>
      <c r="G133" s="12"/>
      <c r="H133" s="26"/>
      <c r="I133" s="12">
        <f>SUM(E133:H133)</f>
        <v>0</v>
      </c>
      <c r="J133" s="16">
        <v>208</v>
      </c>
      <c r="K133" s="16"/>
      <c r="L133" s="16"/>
      <c r="M133" s="16"/>
      <c r="N133" s="12">
        <f>SUM(J133:M133)</f>
        <v>208</v>
      </c>
      <c r="O133" s="12">
        <f t="shared" si="21"/>
        <v>208</v>
      </c>
      <c r="P133" s="16"/>
    </row>
    <row r="134" spans="1:16" ht="14.5" customHeight="1" x14ac:dyDescent="0.3">
      <c r="A134" s="227" t="s">
        <v>115</v>
      </c>
      <c r="B134" s="228"/>
      <c r="C134" s="229"/>
      <c r="D134" s="16"/>
      <c r="E134" s="12"/>
      <c r="F134" s="12"/>
      <c r="G134" s="12"/>
      <c r="H134" s="26"/>
      <c r="I134" s="12">
        <f>SUM(E134:H134)</f>
        <v>0</v>
      </c>
      <c r="J134" s="16">
        <v>145</v>
      </c>
      <c r="K134" s="16"/>
      <c r="L134" s="16"/>
      <c r="M134" s="16"/>
      <c r="N134" s="12">
        <f>SUM(J134:M134)</f>
        <v>145</v>
      </c>
      <c r="O134" s="12">
        <f t="shared" si="21"/>
        <v>145</v>
      </c>
      <c r="P134" s="16"/>
    </row>
    <row r="135" spans="1:16" ht="14.5" customHeight="1" x14ac:dyDescent="0.3">
      <c r="A135" s="240"/>
      <c r="B135" s="241"/>
      <c r="C135" s="242"/>
      <c r="D135" s="110"/>
      <c r="E135" s="111"/>
      <c r="F135" s="111"/>
      <c r="G135" s="111"/>
      <c r="H135" s="112"/>
      <c r="I135" s="111"/>
      <c r="J135" s="110"/>
      <c r="K135" s="110"/>
      <c r="L135" s="110"/>
      <c r="M135" s="110"/>
      <c r="N135" s="111"/>
      <c r="O135" s="111"/>
      <c r="P135" s="110"/>
    </row>
    <row r="136" spans="1:16" x14ac:dyDescent="0.3">
      <c r="A136" s="215"/>
      <c r="B136" s="215"/>
      <c r="C136" s="215"/>
    </row>
    <row r="137" spans="1:16" x14ac:dyDescent="0.3">
      <c r="A137" s="268" t="s">
        <v>34</v>
      </c>
      <c r="B137" s="268"/>
      <c r="C137" s="268"/>
      <c r="H137" s="268" t="s">
        <v>35</v>
      </c>
      <c r="I137" s="268"/>
      <c r="J137" s="268"/>
      <c r="M137" s="268" t="s">
        <v>14</v>
      </c>
      <c r="N137" s="268"/>
      <c r="O137" s="268"/>
    </row>
    <row r="138" spans="1:16" x14ac:dyDescent="0.3">
      <c r="A138" s="215"/>
      <c r="B138" s="215"/>
      <c r="C138" s="215"/>
      <c r="H138" s="215"/>
      <c r="I138" s="215"/>
      <c r="J138" s="215"/>
      <c r="M138" s="215"/>
      <c r="N138" s="215"/>
      <c r="O138" s="215"/>
    </row>
    <row r="139" spans="1:16" x14ac:dyDescent="0.3">
      <c r="A139" s="307"/>
      <c r="B139" s="307"/>
      <c r="C139" s="307"/>
      <c r="H139" s="307"/>
      <c r="I139" s="307"/>
      <c r="J139" s="307"/>
      <c r="M139" s="307"/>
      <c r="N139" s="307"/>
      <c r="O139" s="307"/>
    </row>
    <row r="140" spans="1:16" x14ac:dyDescent="0.3">
      <c r="A140" s="209"/>
      <c r="B140" s="209"/>
      <c r="C140" s="209"/>
      <c r="H140" s="209"/>
      <c r="I140" s="209"/>
      <c r="J140" s="209"/>
      <c r="M140" s="1" t="s">
        <v>33</v>
      </c>
      <c r="N140" s="1"/>
      <c r="O140" s="1"/>
      <c r="P140" s="3"/>
    </row>
    <row r="141" spans="1:16" x14ac:dyDescent="0.3">
      <c r="A141" s="267" t="s">
        <v>13</v>
      </c>
      <c r="B141" s="267"/>
      <c r="C141" s="267"/>
      <c r="H141" s="30" t="s">
        <v>13</v>
      </c>
      <c r="M141" s="267" t="s">
        <v>13</v>
      </c>
      <c r="N141" s="267"/>
      <c r="O141" s="267"/>
      <c r="P141" s="267"/>
    </row>
  </sheetData>
  <mergeCells count="117">
    <mergeCell ref="O1:P1"/>
    <mergeCell ref="O2:P2"/>
    <mergeCell ref="E4:J4"/>
    <mergeCell ref="E5:J5"/>
    <mergeCell ref="C8:D8"/>
    <mergeCell ref="C9:D9"/>
    <mergeCell ref="O13:O14"/>
    <mergeCell ref="P13:P14"/>
    <mergeCell ref="A15:C15"/>
    <mergeCell ref="A16:C16"/>
    <mergeCell ref="A17:C17"/>
    <mergeCell ref="A18:C18"/>
    <mergeCell ref="C10:D10"/>
    <mergeCell ref="C11:D11"/>
    <mergeCell ref="A13:C14"/>
    <mergeCell ref="D13:D14"/>
    <mergeCell ref="E13:I13"/>
    <mergeCell ref="J13:N13"/>
    <mergeCell ref="A28:C28"/>
    <mergeCell ref="A29:C29"/>
    <mergeCell ref="A30:C30"/>
    <mergeCell ref="A31:C31"/>
    <mergeCell ref="A32:C32"/>
    <mergeCell ref="A36:C36"/>
    <mergeCell ref="A19:C19"/>
    <mergeCell ref="A21:C21"/>
    <mergeCell ref="A23:C23"/>
    <mergeCell ref="A24:C24"/>
    <mergeCell ref="A25:C25"/>
    <mergeCell ref="A27:C27"/>
    <mergeCell ref="A50:C50"/>
    <mergeCell ref="A52:C52"/>
    <mergeCell ref="A55:C55"/>
    <mergeCell ref="A56:C56"/>
    <mergeCell ref="A58:C58"/>
    <mergeCell ref="A60:C60"/>
    <mergeCell ref="A38:C38"/>
    <mergeCell ref="A41:C41"/>
    <mergeCell ref="A42:C42"/>
    <mergeCell ref="A44:C44"/>
    <mergeCell ref="A46:C46"/>
    <mergeCell ref="A48:C48"/>
    <mergeCell ref="A69:C69"/>
    <mergeCell ref="A70:C70"/>
    <mergeCell ref="A71:C71"/>
    <mergeCell ref="A72:C72"/>
    <mergeCell ref="A73:C73"/>
    <mergeCell ref="A74:C74"/>
    <mergeCell ref="A62:C62"/>
    <mergeCell ref="A63:C63"/>
    <mergeCell ref="A64:C64"/>
    <mergeCell ref="A65:C65"/>
    <mergeCell ref="A66:C66"/>
    <mergeCell ref="A67:C67"/>
    <mergeCell ref="A83:C83"/>
    <mergeCell ref="A85:C85"/>
    <mergeCell ref="A87:C87"/>
    <mergeCell ref="A88:C88"/>
    <mergeCell ref="A89:C89"/>
    <mergeCell ref="A90:C90"/>
    <mergeCell ref="A75:C75"/>
    <mergeCell ref="A76:C76"/>
    <mergeCell ref="A77:C77"/>
    <mergeCell ref="A78:C78"/>
    <mergeCell ref="A79:C79"/>
    <mergeCell ref="A81:C81"/>
    <mergeCell ref="A97:C97"/>
    <mergeCell ref="A98:C98"/>
    <mergeCell ref="A99:C99"/>
    <mergeCell ref="A100:C100"/>
    <mergeCell ref="A101:C101"/>
    <mergeCell ref="A102:C102"/>
    <mergeCell ref="A91:C91"/>
    <mergeCell ref="A92:C92"/>
    <mergeCell ref="A93:C93"/>
    <mergeCell ref="A94:C94"/>
    <mergeCell ref="A95:C95"/>
    <mergeCell ref="A96:C96"/>
    <mergeCell ref="A109:C109"/>
    <mergeCell ref="A111:C111"/>
    <mergeCell ref="A112:C112"/>
    <mergeCell ref="A113:C113"/>
    <mergeCell ref="A114:C114"/>
    <mergeCell ref="A116:C116"/>
    <mergeCell ref="A103:C103"/>
    <mergeCell ref="A104:C104"/>
    <mergeCell ref="A105:C105"/>
    <mergeCell ref="A106:C106"/>
    <mergeCell ref="A107:C107"/>
    <mergeCell ref="A108:C108"/>
    <mergeCell ref="A123:C123"/>
    <mergeCell ref="A130:C130"/>
    <mergeCell ref="A131:C131"/>
    <mergeCell ref="A132:C132"/>
    <mergeCell ref="A133:C133"/>
    <mergeCell ref="A134:C134"/>
    <mergeCell ref="A117:C117"/>
    <mergeCell ref="A118:C118"/>
    <mergeCell ref="A119:C119"/>
    <mergeCell ref="A120:C120"/>
    <mergeCell ref="A121:C121"/>
    <mergeCell ref="A122:C122"/>
    <mergeCell ref="A139:C139"/>
    <mergeCell ref="H139:J139"/>
    <mergeCell ref="M139:O139"/>
    <mergeCell ref="A140:C140"/>
    <mergeCell ref="H140:J140"/>
    <mergeCell ref="A141:C141"/>
    <mergeCell ref="M141:P141"/>
    <mergeCell ref="A135:C135"/>
    <mergeCell ref="A136:C136"/>
    <mergeCell ref="A137:C137"/>
    <mergeCell ref="H137:J137"/>
    <mergeCell ref="M137:O137"/>
    <mergeCell ref="A138:C138"/>
    <mergeCell ref="H138:J138"/>
    <mergeCell ref="M138:O138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0090-B743-45C9-9E94-B09B057C8235}">
  <dimension ref="A1:P141"/>
  <sheetViews>
    <sheetView topLeftCell="G58" zoomScale="92" zoomScaleNormal="90" workbookViewId="0">
      <selection activeCell="P65" sqref="P65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118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ht="13.5" thickBot="1" x14ac:dyDescent="0.35">
      <c r="A15" s="272">
        <v>1</v>
      </c>
      <c r="B15" s="272"/>
      <c r="C15" s="272"/>
      <c r="D15" s="6">
        <v>2</v>
      </c>
      <c r="E15" s="6">
        <v>3</v>
      </c>
      <c r="F15" s="6">
        <v>4</v>
      </c>
      <c r="G15" s="6">
        <v>5</v>
      </c>
      <c r="H15" s="7">
        <v>6</v>
      </c>
      <c r="I15" s="6" t="s">
        <v>21</v>
      </c>
      <c r="J15" s="6">
        <v>8</v>
      </c>
      <c r="K15" s="6">
        <v>9</v>
      </c>
      <c r="L15" s="6">
        <v>10</v>
      </c>
      <c r="M15" s="6">
        <v>11</v>
      </c>
      <c r="N15" s="6" t="s">
        <v>22</v>
      </c>
      <c r="O15" s="6">
        <v>13</v>
      </c>
      <c r="P15" s="6">
        <v>14</v>
      </c>
    </row>
    <row r="16" spans="1:16" ht="40.25" customHeight="1" x14ac:dyDescent="0.3">
      <c r="A16" s="285" t="s">
        <v>36</v>
      </c>
      <c r="B16" s="286"/>
      <c r="C16" s="287"/>
      <c r="D16" s="8"/>
      <c r="E16" s="33"/>
      <c r="F16" s="33"/>
      <c r="G16" s="33"/>
      <c r="H16" s="28"/>
      <c r="I16" s="50"/>
      <c r="J16" s="8"/>
      <c r="K16" s="8"/>
      <c r="L16" s="8"/>
      <c r="M16" s="8"/>
      <c r="N16" s="8"/>
      <c r="O16" s="8"/>
      <c r="P16" s="8"/>
    </row>
    <row r="17" spans="1:16" ht="13.25" customHeight="1" x14ac:dyDescent="0.3">
      <c r="A17" s="275" t="s">
        <v>37</v>
      </c>
      <c r="B17" s="276"/>
      <c r="C17" s="277"/>
      <c r="D17" s="20">
        <v>310100000000000</v>
      </c>
      <c r="E17" s="34"/>
      <c r="F17" s="34"/>
      <c r="G17" s="34"/>
      <c r="H17" s="29"/>
      <c r="I17" s="51"/>
      <c r="J17" s="9"/>
      <c r="K17" s="9"/>
      <c r="L17" s="9"/>
      <c r="M17" s="9"/>
      <c r="N17" s="9"/>
      <c r="O17" s="9"/>
      <c r="P17" s="9"/>
    </row>
    <row r="18" spans="1:16" x14ac:dyDescent="0.3">
      <c r="A18" s="314" t="s">
        <v>38</v>
      </c>
      <c r="B18" s="315"/>
      <c r="C18" s="316"/>
      <c r="D18" s="11"/>
      <c r="E18" s="82"/>
      <c r="F18" s="82"/>
      <c r="G18" s="82"/>
      <c r="H18" s="83"/>
      <c r="I18" s="93"/>
      <c r="J18" s="87"/>
      <c r="K18" s="87"/>
      <c r="L18" s="87"/>
      <c r="M18" s="87"/>
      <c r="N18" s="87"/>
      <c r="O18" s="87"/>
      <c r="P18" s="87"/>
    </row>
    <row r="19" spans="1:16" s="25" customFormat="1" ht="30" customHeight="1" x14ac:dyDescent="0.35">
      <c r="A19" s="252" t="s">
        <v>43</v>
      </c>
      <c r="B19" s="253"/>
      <c r="C19" s="254"/>
      <c r="D19" s="24"/>
      <c r="E19" s="76"/>
      <c r="F19" s="76"/>
      <c r="G19" s="76"/>
      <c r="H19" s="77"/>
      <c r="I19" s="78" t="e">
        <f>AVERAGE(E19:H19)</f>
        <v>#DIV/0!</v>
      </c>
      <c r="J19" s="97" t="s">
        <v>170</v>
      </c>
      <c r="K19" s="97"/>
      <c r="L19" s="97"/>
      <c r="M19" s="97"/>
      <c r="N19" s="98" t="e">
        <f>AVERAGE(J19:M19)</f>
        <v>#DIV/0!</v>
      </c>
      <c r="O19" s="71" t="e">
        <f>N19-I19</f>
        <v>#DIV/0!</v>
      </c>
      <c r="P19" s="24"/>
    </row>
    <row r="20" spans="1:16" s="25" customFormat="1" ht="19.75" customHeight="1" x14ac:dyDescent="0.35">
      <c r="A20" s="21"/>
      <c r="B20" s="22"/>
      <c r="C20" s="23"/>
      <c r="D20" s="24"/>
      <c r="E20" s="12"/>
      <c r="F20" s="12"/>
      <c r="G20" s="12"/>
      <c r="H20" s="54"/>
      <c r="I20" s="53"/>
      <c r="J20" s="24"/>
      <c r="K20" s="24"/>
      <c r="L20" s="24"/>
      <c r="M20" s="24"/>
      <c r="N20" s="24"/>
      <c r="O20" s="71"/>
      <c r="P20" s="24"/>
    </row>
    <row r="21" spans="1:16" s="25" customFormat="1" ht="14" customHeight="1" x14ac:dyDescent="0.35">
      <c r="A21" s="252" t="s">
        <v>44</v>
      </c>
      <c r="B21" s="253"/>
      <c r="C21" s="254"/>
      <c r="D21" s="24"/>
      <c r="E21" s="76"/>
      <c r="F21" s="76"/>
      <c r="G21" s="76"/>
      <c r="H21" s="77"/>
      <c r="I21" s="79" t="e">
        <f>AVERAGE(E21:H21)</f>
        <v>#DIV/0!</v>
      </c>
      <c r="J21" s="24" t="s">
        <v>170</v>
      </c>
      <c r="K21" s="24"/>
      <c r="L21" s="24"/>
      <c r="M21" s="24"/>
      <c r="N21" s="12" t="e">
        <f>AVERAGE(J21:M21)</f>
        <v>#DIV/0!</v>
      </c>
      <c r="O21" s="71" t="e">
        <f t="shared" ref="O21:O84" si="0">N21-I21</f>
        <v>#DIV/0!</v>
      </c>
      <c r="P21" s="24"/>
    </row>
    <row r="22" spans="1:16" s="25" customFormat="1" ht="14" customHeight="1" x14ac:dyDescent="0.35">
      <c r="A22" s="21"/>
      <c r="B22" s="22"/>
      <c r="C22" s="23"/>
      <c r="D22" s="24"/>
      <c r="E22" s="12"/>
      <c r="F22" s="12"/>
      <c r="G22" s="12"/>
      <c r="H22" s="31"/>
      <c r="I22" s="52"/>
      <c r="J22" s="24"/>
      <c r="K22" s="24"/>
      <c r="L22" s="24"/>
      <c r="M22" s="24"/>
      <c r="N22" s="24"/>
      <c r="O22" s="71"/>
      <c r="P22" s="24"/>
    </row>
    <row r="23" spans="1:16" x14ac:dyDescent="0.3">
      <c r="A23" s="288" t="s">
        <v>39</v>
      </c>
      <c r="B23" s="289"/>
      <c r="C23" s="290"/>
      <c r="D23" s="11"/>
      <c r="E23" s="82"/>
      <c r="F23" s="82"/>
      <c r="G23" s="82"/>
      <c r="H23" s="83"/>
      <c r="I23" s="93"/>
      <c r="J23" s="87"/>
      <c r="K23" s="87"/>
      <c r="L23" s="87"/>
      <c r="M23" s="87"/>
      <c r="N23" s="87"/>
      <c r="O23" s="103"/>
      <c r="P23" s="87"/>
    </row>
    <row r="24" spans="1:16" x14ac:dyDescent="0.3">
      <c r="A24" s="291" t="s">
        <v>55</v>
      </c>
      <c r="B24" s="292"/>
      <c r="C24" s="293"/>
      <c r="D24" s="11"/>
      <c r="E24" s="76"/>
      <c r="F24" s="76"/>
      <c r="G24" s="76"/>
      <c r="H24" s="80"/>
      <c r="I24" s="81">
        <f>SUM(E24:H24)</f>
        <v>0</v>
      </c>
      <c r="J24" s="16" t="s">
        <v>170</v>
      </c>
      <c r="K24" s="11"/>
      <c r="L24" s="11"/>
      <c r="M24" s="11"/>
      <c r="N24" s="12">
        <f>SUM(J24:M24)</f>
        <v>0</v>
      </c>
      <c r="O24" s="12">
        <f t="shared" si="0"/>
        <v>0</v>
      </c>
      <c r="P24" s="11"/>
    </row>
    <row r="25" spans="1:16" x14ac:dyDescent="0.3">
      <c r="A25" s="291" t="s">
        <v>53</v>
      </c>
      <c r="B25" s="292"/>
      <c r="C25" s="293"/>
      <c r="D25" s="11"/>
      <c r="E25" s="12"/>
      <c r="F25" s="12"/>
      <c r="G25" s="12"/>
      <c r="H25" s="26"/>
      <c r="I25" s="55">
        <f>SUM(E25:H25)</f>
        <v>0</v>
      </c>
      <c r="J25" s="16" t="s">
        <v>170</v>
      </c>
      <c r="K25" s="11"/>
      <c r="L25" s="11"/>
      <c r="M25" s="11"/>
      <c r="N25" s="12">
        <f t="shared" ref="N25:N26" si="1">SUM(J25:M25)</f>
        <v>0</v>
      </c>
      <c r="O25" s="12">
        <f t="shared" si="0"/>
        <v>0</v>
      </c>
      <c r="P25" s="11"/>
    </row>
    <row r="26" spans="1:16" x14ac:dyDescent="0.3">
      <c r="A26" s="17"/>
      <c r="B26" s="18"/>
      <c r="C26" s="35" t="s">
        <v>45</v>
      </c>
      <c r="D26" s="11"/>
      <c r="E26" s="12"/>
      <c r="F26" s="12"/>
      <c r="G26" s="12"/>
      <c r="H26" s="26"/>
      <c r="I26" s="55">
        <f>SUM(E26:H26)</f>
        <v>0</v>
      </c>
      <c r="J26" s="16" t="s">
        <v>170</v>
      </c>
      <c r="K26" s="11"/>
      <c r="L26" s="11"/>
      <c r="M26" s="11"/>
      <c r="N26" s="12">
        <f t="shared" si="1"/>
        <v>0</v>
      </c>
      <c r="O26" s="12">
        <f t="shared" si="0"/>
        <v>0</v>
      </c>
      <c r="P26" s="11"/>
    </row>
    <row r="27" spans="1:16" x14ac:dyDescent="0.3">
      <c r="A27" s="291" t="s">
        <v>54</v>
      </c>
      <c r="B27" s="292"/>
      <c r="C27" s="293"/>
      <c r="D27" s="11"/>
      <c r="E27" s="76"/>
      <c r="F27" s="76"/>
      <c r="G27" s="76"/>
      <c r="H27" s="80"/>
      <c r="I27" s="81">
        <f>SUM(E27:H27)</f>
        <v>0</v>
      </c>
      <c r="J27" s="16" t="s">
        <v>170</v>
      </c>
      <c r="K27" s="11"/>
      <c r="L27" s="11"/>
      <c r="M27" s="11"/>
      <c r="N27" s="12">
        <f>SUM(J27:M27)</f>
        <v>0</v>
      </c>
      <c r="O27" s="12">
        <f t="shared" si="0"/>
        <v>0</v>
      </c>
      <c r="P27" s="11"/>
    </row>
    <row r="28" spans="1:16" x14ac:dyDescent="0.3">
      <c r="A28" s="214"/>
      <c r="B28" s="215"/>
      <c r="C28" s="216"/>
      <c r="D28" s="11"/>
      <c r="E28" s="12"/>
      <c r="F28" s="12"/>
      <c r="G28" s="12"/>
      <c r="H28" s="26"/>
      <c r="I28" s="13"/>
      <c r="J28" s="11"/>
      <c r="K28" s="11"/>
      <c r="L28" s="11"/>
      <c r="M28" s="11"/>
      <c r="N28" s="11"/>
      <c r="O28" s="104"/>
      <c r="P28" s="11"/>
    </row>
    <row r="29" spans="1:16" x14ac:dyDescent="0.3">
      <c r="A29" s="208" t="s">
        <v>47</v>
      </c>
      <c r="B29" s="209"/>
      <c r="C29" s="210"/>
      <c r="D29" s="20">
        <v>310200000000000</v>
      </c>
      <c r="E29" s="34"/>
      <c r="F29" s="34"/>
      <c r="G29" s="34"/>
      <c r="H29" s="29"/>
      <c r="I29" s="51"/>
      <c r="J29" s="9"/>
      <c r="K29" s="9"/>
      <c r="L29" s="9"/>
      <c r="M29" s="9"/>
      <c r="N29" s="9"/>
      <c r="O29" s="71"/>
      <c r="P29" s="9"/>
    </row>
    <row r="30" spans="1:16" x14ac:dyDescent="0.3">
      <c r="A30" s="224" t="s">
        <v>48</v>
      </c>
      <c r="B30" s="225"/>
      <c r="C30" s="226"/>
      <c r="D30" s="11"/>
      <c r="E30" s="82"/>
      <c r="F30" s="82"/>
      <c r="G30" s="82"/>
      <c r="H30" s="83"/>
      <c r="I30" s="93"/>
      <c r="J30" s="87"/>
      <c r="K30" s="87"/>
      <c r="L30" s="87"/>
      <c r="M30" s="87"/>
      <c r="N30" s="87"/>
      <c r="O30" s="103"/>
      <c r="P30" s="87"/>
    </row>
    <row r="31" spans="1:16" s="10" customFormat="1" ht="31.75" customHeight="1" x14ac:dyDescent="0.3">
      <c r="A31" s="252" t="s">
        <v>49</v>
      </c>
      <c r="B31" s="253"/>
      <c r="C31" s="254"/>
      <c r="D31" s="16"/>
      <c r="E31" s="82"/>
      <c r="F31" s="82"/>
      <c r="G31" s="82"/>
      <c r="H31" s="83"/>
      <c r="I31" s="86"/>
      <c r="J31" s="86"/>
      <c r="K31" s="86"/>
      <c r="L31" s="86"/>
      <c r="M31" s="86"/>
      <c r="N31" s="86"/>
      <c r="O31" s="103"/>
      <c r="P31" s="86"/>
    </row>
    <row r="32" spans="1:16" ht="15.5" customHeight="1" x14ac:dyDescent="0.3">
      <c r="A32" s="211" t="s">
        <v>25</v>
      </c>
      <c r="B32" s="212"/>
      <c r="C32" s="213"/>
      <c r="D32" s="11"/>
      <c r="E32" s="82"/>
      <c r="F32" s="36"/>
      <c r="G32" s="82"/>
      <c r="H32" s="83"/>
      <c r="I32" s="92">
        <f>F32</f>
        <v>0</v>
      </c>
      <c r="J32" s="82"/>
      <c r="K32" s="36"/>
      <c r="L32" s="82"/>
      <c r="M32" s="83"/>
      <c r="N32" s="92">
        <f>K32</f>
        <v>0</v>
      </c>
      <c r="O32" s="71">
        <f t="shared" si="0"/>
        <v>0</v>
      </c>
      <c r="P32" s="11"/>
    </row>
    <row r="33" spans="1:16" ht="15.5" customHeight="1" x14ac:dyDescent="0.3">
      <c r="A33" s="14"/>
      <c r="B33" s="3"/>
      <c r="C33" s="15" t="s">
        <v>108</v>
      </c>
      <c r="D33" s="11"/>
      <c r="E33" s="82"/>
      <c r="F33" s="12"/>
      <c r="G33" s="82"/>
      <c r="H33" s="83"/>
      <c r="I33" s="13">
        <f t="shared" ref="I33:I39" si="2">F33</f>
        <v>0</v>
      </c>
      <c r="J33" s="82"/>
      <c r="K33" s="12"/>
      <c r="L33" s="82"/>
      <c r="M33" s="83"/>
      <c r="N33" s="13">
        <f t="shared" ref="N33:N39" si="3">K33</f>
        <v>0</v>
      </c>
      <c r="O33" s="12">
        <f t="shared" si="0"/>
        <v>0</v>
      </c>
      <c r="P33" s="11"/>
    </row>
    <row r="34" spans="1:16" ht="15.5" customHeight="1" x14ac:dyDescent="0.3">
      <c r="A34" s="14"/>
      <c r="B34" s="3"/>
      <c r="C34" s="70" t="s">
        <v>107</v>
      </c>
      <c r="D34" s="11"/>
      <c r="E34" s="82"/>
      <c r="F34" s="36"/>
      <c r="G34" s="82"/>
      <c r="H34" s="83"/>
      <c r="I34" s="92">
        <f t="shared" si="2"/>
        <v>0</v>
      </c>
      <c r="J34" s="82"/>
      <c r="K34" s="36"/>
      <c r="L34" s="82"/>
      <c r="M34" s="83"/>
      <c r="N34" s="92">
        <f t="shared" si="3"/>
        <v>0</v>
      </c>
      <c r="O34" s="71">
        <f t="shared" si="0"/>
        <v>0</v>
      </c>
      <c r="P34" s="11"/>
    </row>
    <row r="35" spans="1:16" ht="15.5" customHeight="1" x14ac:dyDescent="0.3">
      <c r="A35" s="14"/>
      <c r="B35" s="3"/>
      <c r="C35" s="15" t="s">
        <v>108</v>
      </c>
      <c r="D35" s="11"/>
      <c r="E35" s="82"/>
      <c r="F35" s="12"/>
      <c r="G35" s="82"/>
      <c r="H35" s="83"/>
      <c r="I35" s="13">
        <f t="shared" si="2"/>
        <v>0</v>
      </c>
      <c r="J35" s="82"/>
      <c r="K35" s="36"/>
      <c r="L35" s="82"/>
      <c r="M35" s="83"/>
      <c r="N35" s="13">
        <f t="shared" si="3"/>
        <v>0</v>
      </c>
      <c r="O35" s="12">
        <f t="shared" si="0"/>
        <v>0</v>
      </c>
      <c r="P35" s="11"/>
    </row>
    <row r="36" spans="1:16" ht="15.5" customHeight="1" x14ac:dyDescent="0.3">
      <c r="A36" s="211" t="s">
        <v>26</v>
      </c>
      <c r="B36" s="212"/>
      <c r="C36" s="213"/>
      <c r="D36" s="11"/>
      <c r="E36" s="82"/>
      <c r="F36" s="36"/>
      <c r="G36" s="82"/>
      <c r="H36" s="83"/>
      <c r="I36" s="92">
        <f t="shared" si="2"/>
        <v>0</v>
      </c>
      <c r="J36" s="82"/>
      <c r="K36" s="36"/>
      <c r="L36" s="82"/>
      <c r="M36" s="83"/>
      <c r="N36" s="92">
        <f t="shared" si="3"/>
        <v>0</v>
      </c>
      <c r="O36" s="71">
        <f t="shared" si="0"/>
        <v>0</v>
      </c>
      <c r="P36" s="11"/>
    </row>
    <row r="37" spans="1:16" ht="15.5" customHeight="1" x14ac:dyDescent="0.3">
      <c r="A37" s="14"/>
      <c r="B37" s="3"/>
      <c r="C37" s="15" t="s">
        <v>108</v>
      </c>
      <c r="D37" s="11"/>
      <c r="E37" s="82"/>
      <c r="F37" s="12"/>
      <c r="G37" s="82"/>
      <c r="H37" s="83"/>
      <c r="I37" s="13">
        <f t="shared" si="2"/>
        <v>0</v>
      </c>
      <c r="J37" s="82"/>
      <c r="K37" s="12"/>
      <c r="L37" s="82"/>
      <c r="M37" s="83"/>
      <c r="N37" s="13">
        <f t="shared" si="3"/>
        <v>0</v>
      </c>
      <c r="O37" s="12">
        <f t="shared" si="0"/>
        <v>0</v>
      </c>
      <c r="P37" s="11"/>
    </row>
    <row r="38" spans="1:16" ht="15.5" customHeight="1" x14ac:dyDescent="0.3">
      <c r="A38" s="211" t="s">
        <v>27</v>
      </c>
      <c r="B38" s="212"/>
      <c r="C38" s="213"/>
      <c r="D38" s="11"/>
      <c r="E38" s="82"/>
      <c r="F38" s="36"/>
      <c r="G38" s="82"/>
      <c r="H38" s="83"/>
      <c r="I38" s="92">
        <f t="shared" si="2"/>
        <v>0</v>
      </c>
      <c r="J38" s="82"/>
      <c r="K38" s="36"/>
      <c r="L38" s="82"/>
      <c r="M38" s="83"/>
      <c r="N38" s="92">
        <f t="shared" si="3"/>
        <v>0</v>
      </c>
      <c r="O38" s="71">
        <f t="shared" si="0"/>
        <v>0</v>
      </c>
      <c r="P38" s="11"/>
    </row>
    <row r="39" spans="1:16" ht="15.5" customHeight="1" x14ac:dyDescent="0.3">
      <c r="A39" s="14"/>
      <c r="B39" s="3"/>
      <c r="C39" s="15" t="s">
        <v>108</v>
      </c>
      <c r="D39" s="11"/>
      <c r="E39" s="82"/>
      <c r="F39" s="12"/>
      <c r="G39" s="82"/>
      <c r="H39" s="83"/>
      <c r="I39" s="13">
        <f t="shared" si="2"/>
        <v>0</v>
      </c>
      <c r="J39" s="82"/>
      <c r="K39" s="12"/>
      <c r="L39" s="82"/>
      <c r="M39" s="83"/>
      <c r="N39" s="13">
        <f t="shared" si="3"/>
        <v>0</v>
      </c>
      <c r="O39" s="12">
        <f t="shared" si="0"/>
        <v>0</v>
      </c>
      <c r="P39" s="11"/>
    </row>
    <row r="40" spans="1:16" ht="15.5" customHeight="1" x14ac:dyDescent="0.3">
      <c r="A40" s="14"/>
      <c r="B40" s="3"/>
      <c r="C40" s="15"/>
      <c r="D40" s="11"/>
      <c r="E40" s="12"/>
      <c r="F40" s="12"/>
      <c r="G40" s="12"/>
      <c r="H40" s="26"/>
      <c r="I40" s="13"/>
      <c r="J40" s="12"/>
      <c r="K40" s="12"/>
      <c r="L40" s="12"/>
      <c r="M40" s="26"/>
      <c r="N40" s="13"/>
      <c r="O40" s="71"/>
      <c r="P40" s="11"/>
    </row>
    <row r="41" spans="1:16" ht="25.25" customHeight="1" x14ac:dyDescent="0.3">
      <c r="A41" s="243" t="s">
        <v>46</v>
      </c>
      <c r="B41" s="244"/>
      <c r="C41" s="245"/>
      <c r="D41" s="16"/>
      <c r="E41" s="82"/>
      <c r="F41" s="82"/>
      <c r="G41" s="82"/>
      <c r="H41" s="83"/>
      <c r="I41" s="86"/>
      <c r="J41" s="82"/>
      <c r="K41" s="82"/>
      <c r="L41" s="82"/>
      <c r="M41" s="83"/>
      <c r="N41" s="86"/>
      <c r="O41" s="103"/>
      <c r="P41" s="86"/>
    </row>
    <row r="42" spans="1:16" ht="15.5" customHeight="1" x14ac:dyDescent="0.3">
      <c r="A42" s="304" t="s">
        <v>102</v>
      </c>
      <c r="B42" s="305"/>
      <c r="C42" s="306"/>
      <c r="D42" s="11"/>
      <c r="E42" s="82"/>
      <c r="F42" s="36"/>
      <c r="G42" s="82"/>
      <c r="H42" s="83"/>
      <c r="I42" s="92">
        <f>F42</f>
        <v>0</v>
      </c>
      <c r="J42" s="82"/>
      <c r="K42" s="94"/>
      <c r="L42" s="82"/>
      <c r="M42" s="83"/>
      <c r="N42" s="96">
        <f>K42</f>
        <v>0</v>
      </c>
      <c r="O42" s="71">
        <f t="shared" si="0"/>
        <v>0</v>
      </c>
      <c r="P42" s="11"/>
    </row>
    <row r="43" spans="1:16" ht="15.5" customHeight="1" x14ac:dyDescent="0.3">
      <c r="A43" s="46"/>
      <c r="B43" s="47"/>
      <c r="C43" s="15" t="s">
        <v>108</v>
      </c>
      <c r="D43" s="11"/>
      <c r="E43" s="82"/>
      <c r="F43" s="12"/>
      <c r="G43" s="82"/>
      <c r="H43" s="83"/>
      <c r="I43" s="13">
        <f t="shared" ref="I43:I53" si="4">F43</f>
        <v>0</v>
      </c>
      <c r="J43" s="82"/>
      <c r="K43" s="95"/>
      <c r="L43" s="82"/>
      <c r="M43" s="83"/>
      <c r="N43" s="13">
        <f t="shared" ref="N43:N53" si="5">K43</f>
        <v>0</v>
      </c>
      <c r="O43" s="12">
        <f t="shared" si="0"/>
        <v>0</v>
      </c>
      <c r="P43" s="11"/>
    </row>
    <row r="44" spans="1:16" ht="15.5" customHeight="1" x14ac:dyDescent="0.3">
      <c r="A44" s="304" t="s">
        <v>103</v>
      </c>
      <c r="B44" s="305"/>
      <c r="C44" s="306"/>
      <c r="D44" s="11"/>
      <c r="E44" s="82"/>
      <c r="F44" s="36"/>
      <c r="G44" s="82"/>
      <c r="H44" s="83"/>
      <c r="I44" s="92">
        <f t="shared" si="4"/>
        <v>0</v>
      </c>
      <c r="J44" s="82"/>
      <c r="K44" s="94"/>
      <c r="L44" s="82"/>
      <c r="M44" s="83"/>
      <c r="N44" s="96">
        <f t="shared" si="5"/>
        <v>0</v>
      </c>
      <c r="O44" s="71">
        <f t="shared" si="0"/>
        <v>0</v>
      </c>
      <c r="P44" s="11"/>
    </row>
    <row r="45" spans="1:16" ht="15.5" customHeight="1" x14ac:dyDescent="0.3">
      <c r="A45" s="46"/>
      <c r="B45" s="47"/>
      <c r="C45" s="15" t="s">
        <v>108</v>
      </c>
      <c r="D45" s="11"/>
      <c r="E45" s="82"/>
      <c r="F45" s="12"/>
      <c r="G45" s="82"/>
      <c r="H45" s="83"/>
      <c r="I45" s="13">
        <f t="shared" si="4"/>
        <v>0</v>
      </c>
      <c r="J45" s="82"/>
      <c r="K45" s="95"/>
      <c r="L45" s="82"/>
      <c r="M45" s="83"/>
      <c r="N45" s="13">
        <f t="shared" si="5"/>
        <v>0</v>
      </c>
      <c r="O45" s="12">
        <f t="shared" si="0"/>
        <v>0</v>
      </c>
      <c r="P45" s="11"/>
    </row>
    <row r="46" spans="1:16" ht="15.5" customHeight="1" x14ac:dyDescent="0.3">
      <c r="A46" s="304" t="s">
        <v>104</v>
      </c>
      <c r="B46" s="305"/>
      <c r="C46" s="306"/>
      <c r="D46" s="11"/>
      <c r="E46" s="82"/>
      <c r="F46" s="94"/>
      <c r="G46" s="82"/>
      <c r="H46" s="83"/>
      <c r="I46" s="92">
        <f t="shared" si="4"/>
        <v>0</v>
      </c>
      <c r="J46" s="82"/>
      <c r="K46" s="94"/>
      <c r="L46" s="82"/>
      <c r="M46" s="83"/>
      <c r="N46" s="96">
        <f t="shared" si="5"/>
        <v>0</v>
      </c>
      <c r="O46" s="71">
        <f t="shared" si="0"/>
        <v>0</v>
      </c>
      <c r="P46" s="11"/>
    </row>
    <row r="47" spans="1:16" ht="15.5" customHeight="1" x14ac:dyDescent="0.3">
      <c r="A47" s="46"/>
      <c r="B47" s="47"/>
      <c r="C47" s="15" t="s">
        <v>108</v>
      </c>
      <c r="D47" s="11"/>
      <c r="E47" s="82"/>
      <c r="F47" s="12"/>
      <c r="G47" s="82"/>
      <c r="H47" s="83"/>
      <c r="I47" s="13">
        <f t="shared" si="4"/>
        <v>0</v>
      </c>
      <c r="J47" s="82"/>
      <c r="K47" s="95"/>
      <c r="L47" s="82"/>
      <c r="M47" s="83"/>
      <c r="N47" s="13">
        <f t="shared" si="5"/>
        <v>0</v>
      </c>
      <c r="O47" s="12">
        <f t="shared" si="0"/>
        <v>0</v>
      </c>
      <c r="P47" s="11"/>
    </row>
    <row r="48" spans="1:16" ht="15.5" customHeight="1" x14ac:dyDescent="0.3">
      <c r="A48" s="304" t="s">
        <v>105</v>
      </c>
      <c r="B48" s="305"/>
      <c r="C48" s="306"/>
      <c r="D48" s="11"/>
      <c r="E48" s="82"/>
      <c r="F48" s="36"/>
      <c r="G48" s="82"/>
      <c r="H48" s="83"/>
      <c r="I48" s="92">
        <f t="shared" si="4"/>
        <v>0</v>
      </c>
      <c r="J48" s="82"/>
      <c r="K48" s="94"/>
      <c r="L48" s="82"/>
      <c r="M48" s="83"/>
      <c r="N48" s="96">
        <f t="shared" si="5"/>
        <v>0</v>
      </c>
      <c r="O48" s="71">
        <f t="shared" si="0"/>
        <v>0</v>
      </c>
      <c r="P48" s="11"/>
    </row>
    <row r="49" spans="1:16" ht="15.5" customHeight="1" x14ac:dyDescent="0.3">
      <c r="A49" s="46"/>
      <c r="B49" s="47"/>
      <c r="C49" s="15" t="s">
        <v>108</v>
      </c>
      <c r="D49" s="11"/>
      <c r="E49" s="82"/>
      <c r="F49" s="12"/>
      <c r="G49" s="82"/>
      <c r="H49" s="83"/>
      <c r="I49" s="13">
        <f t="shared" si="4"/>
        <v>0</v>
      </c>
      <c r="J49" s="82"/>
      <c r="K49" s="95"/>
      <c r="L49" s="82"/>
      <c r="M49" s="83"/>
      <c r="N49" s="13">
        <f t="shared" si="5"/>
        <v>0</v>
      </c>
      <c r="O49" s="12">
        <f t="shared" si="0"/>
        <v>0</v>
      </c>
      <c r="P49" s="11"/>
    </row>
    <row r="50" spans="1:16" ht="15.5" customHeight="1" x14ac:dyDescent="0.3">
      <c r="A50" s="304" t="s">
        <v>106</v>
      </c>
      <c r="B50" s="305"/>
      <c r="C50" s="306"/>
      <c r="D50" s="11"/>
      <c r="E50" s="82"/>
      <c r="F50" s="36"/>
      <c r="G50" s="82"/>
      <c r="H50" s="83"/>
      <c r="I50" s="92">
        <f t="shared" si="4"/>
        <v>0</v>
      </c>
      <c r="J50" s="82"/>
      <c r="K50" s="94"/>
      <c r="L50" s="82"/>
      <c r="M50" s="83"/>
      <c r="N50" s="96">
        <f t="shared" si="5"/>
        <v>0</v>
      </c>
      <c r="O50" s="71">
        <f t="shared" si="0"/>
        <v>0</v>
      </c>
      <c r="P50" s="11"/>
    </row>
    <row r="51" spans="1:16" ht="15.5" customHeight="1" x14ac:dyDescent="0.3">
      <c r="A51" s="46"/>
      <c r="B51" s="47"/>
      <c r="C51" s="15" t="s">
        <v>108</v>
      </c>
      <c r="D51" s="11"/>
      <c r="E51" s="82"/>
      <c r="F51" s="12"/>
      <c r="G51" s="82"/>
      <c r="H51" s="83"/>
      <c r="I51" s="13">
        <f t="shared" si="4"/>
        <v>0</v>
      </c>
      <c r="J51" s="82"/>
      <c r="K51" s="95"/>
      <c r="L51" s="82"/>
      <c r="M51" s="83"/>
      <c r="N51" s="13">
        <f t="shared" si="5"/>
        <v>0</v>
      </c>
      <c r="O51" s="12">
        <f t="shared" si="0"/>
        <v>0</v>
      </c>
      <c r="P51" s="11"/>
    </row>
    <row r="52" spans="1:16" ht="15.5" customHeight="1" x14ac:dyDescent="0.3">
      <c r="A52" s="304" t="s">
        <v>111</v>
      </c>
      <c r="B52" s="305"/>
      <c r="C52" s="306"/>
      <c r="D52" s="11"/>
      <c r="E52" s="82"/>
      <c r="F52" s="94"/>
      <c r="G52" s="82"/>
      <c r="H52" s="83"/>
      <c r="I52" s="92">
        <f t="shared" si="4"/>
        <v>0</v>
      </c>
      <c r="J52" s="82"/>
      <c r="K52" s="94"/>
      <c r="L52" s="82"/>
      <c r="M52" s="83"/>
      <c r="N52" s="96">
        <f t="shared" si="5"/>
        <v>0</v>
      </c>
      <c r="O52" s="71">
        <f t="shared" si="0"/>
        <v>0</v>
      </c>
      <c r="P52" s="11"/>
    </row>
    <row r="53" spans="1:16" ht="15.5" customHeight="1" x14ac:dyDescent="0.3">
      <c r="A53" s="37"/>
      <c r="B53" s="38"/>
      <c r="C53" s="15" t="s">
        <v>108</v>
      </c>
      <c r="D53" s="11"/>
      <c r="E53" s="82"/>
      <c r="F53" s="12"/>
      <c r="G53" s="82"/>
      <c r="H53" s="83"/>
      <c r="I53" s="13">
        <f t="shared" si="4"/>
        <v>0</v>
      </c>
      <c r="J53" s="82"/>
      <c r="K53" s="95"/>
      <c r="L53" s="82"/>
      <c r="M53" s="83"/>
      <c r="N53" s="13">
        <f t="shared" si="5"/>
        <v>0</v>
      </c>
      <c r="O53" s="12">
        <f t="shared" si="0"/>
        <v>0</v>
      </c>
      <c r="P53" s="11"/>
    </row>
    <row r="54" spans="1:16" ht="15.5" customHeight="1" x14ac:dyDescent="0.3">
      <c r="A54" s="37"/>
      <c r="B54" s="38"/>
      <c r="C54" s="39"/>
      <c r="D54" s="11"/>
      <c r="E54" s="12"/>
      <c r="F54" s="12"/>
      <c r="G54" s="12"/>
      <c r="H54" s="26"/>
      <c r="I54" s="13"/>
      <c r="J54" s="12"/>
      <c r="K54" s="12"/>
      <c r="L54" s="12"/>
      <c r="M54" s="26"/>
      <c r="N54" s="13"/>
      <c r="O54" s="71"/>
      <c r="P54" s="11"/>
    </row>
    <row r="55" spans="1:16" ht="25.75" customHeight="1" x14ac:dyDescent="0.3">
      <c r="A55" s="243" t="s">
        <v>52</v>
      </c>
      <c r="B55" s="244"/>
      <c r="C55" s="245"/>
      <c r="D55" s="16"/>
      <c r="E55" s="82"/>
      <c r="F55" s="82"/>
      <c r="G55" s="82"/>
      <c r="H55" s="83"/>
      <c r="I55" s="86"/>
      <c r="J55" s="82"/>
      <c r="K55" s="82"/>
      <c r="L55" s="82"/>
      <c r="M55" s="83"/>
      <c r="N55" s="86"/>
      <c r="O55" s="103"/>
      <c r="P55" s="86"/>
    </row>
    <row r="56" spans="1:16" ht="15.5" customHeight="1" x14ac:dyDescent="0.3">
      <c r="A56" s="246" t="s">
        <v>56</v>
      </c>
      <c r="B56" s="247"/>
      <c r="C56" s="248"/>
      <c r="D56" s="11"/>
      <c r="E56" s="82"/>
      <c r="F56" s="82"/>
      <c r="G56" s="82"/>
      <c r="H56" s="31"/>
      <c r="I56" s="92">
        <f>H56</f>
        <v>0</v>
      </c>
      <c r="J56" s="82"/>
      <c r="K56" s="82"/>
      <c r="L56" s="82"/>
      <c r="M56" s="31"/>
      <c r="N56" s="92">
        <f>M56</f>
        <v>0</v>
      </c>
      <c r="O56" s="71">
        <f t="shared" si="0"/>
        <v>0</v>
      </c>
      <c r="P56" s="11"/>
    </row>
    <row r="57" spans="1:16" ht="15.5" customHeight="1" x14ac:dyDescent="0.3">
      <c r="A57" s="40"/>
      <c r="B57" s="41"/>
      <c r="C57" s="15" t="s">
        <v>108</v>
      </c>
      <c r="D57" s="11"/>
      <c r="E57" s="82"/>
      <c r="F57" s="82"/>
      <c r="G57" s="82"/>
      <c r="H57" s="26"/>
      <c r="I57" s="13">
        <f t="shared" ref="I57:I61" si="6">H57</f>
        <v>0</v>
      </c>
      <c r="J57" s="82"/>
      <c r="K57" s="82"/>
      <c r="L57" s="82"/>
      <c r="M57" s="26"/>
      <c r="N57" s="13">
        <f t="shared" ref="N57:N61" si="7">M57</f>
        <v>0</v>
      </c>
      <c r="O57" s="12">
        <f t="shared" si="0"/>
        <v>0</v>
      </c>
      <c r="P57" s="11"/>
    </row>
    <row r="58" spans="1:16" ht="15.5" customHeight="1" x14ac:dyDescent="0.3">
      <c r="A58" s="246" t="s">
        <v>57</v>
      </c>
      <c r="B58" s="247"/>
      <c r="C58" s="248"/>
      <c r="D58" s="11"/>
      <c r="E58" s="82"/>
      <c r="F58" s="82"/>
      <c r="G58" s="82"/>
      <c r="H58" s="31"/>
      <c r="I58" s="92">
        <f t="shared" si="6"/>
        <v>0</v>
      </c>
      <c r="J58" s="82"/>
      <c r="K58" s="82"/>
      <c r="L58" s="82"/>
      <c r="M58" s="31"/>
      <c r="N58" s="92">
        <f t="shared" si="7"/>
        <v>0</v>
      </c>
      <c r="O58" s="71">
        <f t="shared" si="0"/>
        <v>0</v>
      </c>
      <c r="P58" s="11"/>
    </row>
    <row r="59" spans="1:16" ht="15.5" customHeight="1" x14ac:dyDescent="0.3">
      <c r="A59" s="40"/>
      <c r="B59" s="41"/>
      <c r="C59" s="15" t="s">
        <v>108</v>
      </c>
      <c r="D59" s="11"/>
      <c r="E59" s="82"/>
      <c r="F59" s="82"/>
      <c r="G59" s="82"/>
      <c r="H59" s="26"/>
      <c r="I59" s="13">
        <f t="shared" si="6"/>
        <v>0</v>
      </c>
      <c r="J59" s="82"/>
      <c r="K59" s="82"/>
      <c r="L59" s="82"/>
      <c r="M59" s="26"/>
      <c r="N59" s="13">
        <f t="shared" si="7"/>
        <v>0</v>
      </c>
      <c r="O59" s="12">
        <f t="shared" si="0"/>
        <v>0</v>
      </c>
      <c r="P59" s="11"/>
    </row>
    <row r="60" spans="1:16" ht="15.5" customHeight="1" x14ac:dyDescent="0.3">
      <c r="A60" s="246" t="s">
        <v>58</v>
      </c>
      <c r="B60" s="247"/>
      <c r="C60" s="248"/>
      <c r="D60" s="11"/>
      <c r="E60" s="82"/>
      <c r="F60" s="82"/>
      <c r="G60" s="82"/>
      <c r="H60" s="31"/>
      <c r="I60" s="92">
        <f t="shared" si="6"/>
        <v>0</v>
      </c>
      <c r="J60" s="82"/>
      <c r="K60" s="82"/>
      <c r="L60" s="82"/>
      <c r="M60" s="31"/>
      <c r="N60" s="92">
        <f t="shared" si="7"/>
        <v>0</v>
      </c>
      <c r="O60" s="71">
        <f t="shared" si="0"/>
        <v>0</v>
      </c>
      <c r="P60" s="11"/>
    </row>
    <row r="61" spans="1:16" ht="15.5" customHeight="1" x14ac:dyDescent="0.3">
      <c r="A61" s="40"/>
      <c r="B61" s="41"/>
      <c r="C61" s="15" t="s">
        <v>108</v>
      </c>
      <c r="D61" s="11"/>
      <c r="E61" s="82"/>
      <c r="F61" s="82"/>
      <c r="G61" s="82"/>
      <c r="H61" s="26"/>
      <c r="I61" s="13">
        <f t="shared" si="6"/>
        <v>0</v>
      </c>
      <c r="J61" s="82"/>
      <c r="K61" s="82"/>
      <c r="L61" s="82"/>
      <c r="M61" s="26"/>
      <c r="N61" s="13">
        <f t="shared" si="7"/>
        <v>0</v>
      </c>
      <c r="O61" s="12">
        <f t="shared" si="0"/>
        <v>0</v>
      </c>
      <c r="P61" s="11"/>
    </row>
    <row r="62" spans="1:16" ht="15.5" customHeight="1" x14ac:dyDescent="0.3">
      <c r="A62" s="214"/>
      <c r="B62" s="215"/>
      <c r="C62" s="216"/>
      <c r="D62" s="11"/>
      <c r="E62" s="12"/>
      <c r="F62" s="12"/>
      <c r="G62" s="12"/>
      <c r="H62" s="26"/>
      <c r="I62" s="13"/>
      <c r="J62" s="12"/>
      <c r="K62" s="12"/>
      <c r="L62" s="12"/>
      <c r="M62" s="26"/>
      <c r="N62" s="13"/>
      <c r="O62" s="71"/>
      <c r="P62" s="11"/>
    </row>
    <row r="63" spans="1:16" x14ac:dyDescent="0.3">
      <c r="A63" s="224" t="s">
        <v>59</v>
      </c>
      <c r="B63" s="225"/>
      <c r="C63" s="226"/>
      <c r="D63" s="11"/>
      <c r="E63" s="82"/>
      <c r="F63" s="82"/>
      <c r="G63" s="82"/>
      <c r="H63" s="83"/>
      <c r="I63" s="93"/>
      <c r="J63" s="82"/>
      <c r="K63" s="82"/>
      <c r="L63" s="82"/>
      <c r="M63" s="83"/>
      <c r="N63" s="93"/>
      <c r="O63" s="103"/>
      <c r="P63" s="87"/>
    </row>
    <row r="64" spans="1:16" x14ac:dyDescent="0.3">
      <c r="A64" s="295" t="s">
        <v>67</v>
      </c>
      <c r="B64" s="296"/>
      <c r="C64" s="297"/>
      <c r="D64" s="11"/>
      <c r="E64" s="82"/>
      <c r="F64" s="82"/>
      <c r="G64" s="82"/>
      <c r="H64" s="83"/>
      <c r="I64" s="93"/>
      <c r="J64" s="82"/>
      <c r="K64" s="82"/>
      <c r="L64" s="82"/>
      <c r="M64" s="83"/>
      <c r="N64" s="93"/>
      <c r="O64" s="103"/>
      <c r="P64" s="87"/>
    </row>
    <row r="65" spans="1:16" ht="15.5" customHeight="1" x14ac:dyDescent="0.3">
      <c r="A65" s="308" t="s">
        <v>68</v>
      </c>
      <c r="B65" s="309"/>
      <c r="C65" s="310"/>
      <c r="D65" s="11"/>
      <c r="E65" s="82"/>
      <c r="F65" s="82"/>
      <c r="G65" s="12"/>
      <c r="H65" s="26"/>
      <c r="I65" s="13">
        <f>SUM(G65:H65)</f>
        <v>0</v>
      </c>
      <c r="J65" s="12" t="s">
        <v>170</v>
      </c>
      <c r="K65" s="12"/>
      <c r="L65" s="12"/>
      <c r="M65" s="26"/>
      <c r="N65" s="13">
        <f>SUM(L65:M65)</f>
        <v>0</v>
      </c>
      <c r="O65" s="12">
        <f t="shared" si="0"/>
        <v>0</v>
      </c>
      <c r="P65" s="11" t="s">
        <v>210</v>
      </c>
    </row>
    <row r="66" spans="1:16" ht="15.5" customHeight="1" x14ac:dyDescent="0.3">
      <c r="A66" s="308" t="s">
        <v>69</v>
      </c>
      <c r="B66" s="309"/>
      <c r="C66" s="310"/>
      <c r="D66" s="11"/>
      <c r="E66" s="85"/>
      <c r="F66" s="85"/>
      <c r="G66" s="56"/>
      <c r="H66" s="60"/>
      <c r="I66" s="13">
        <f>SUM(G66:H66)</f>
        <v>0</v>
      </c>
      <c r="J66" s="12">
        <v>23</v>
      </c>
      <c r="K66" s="56"/>
      <c r="L66" s="56"/>
      <c r="M66" s="60"/>
      <c r="N66" s="13">
        <f>SUM(L66:M66)</f>
        <v>0</v>
      </c>
      <c r="O66" s="12">
        <f t="shared" si="0"/>
        <v>0</v>
      </c>
      <c r="P66" s="11" t="s">
        <v>209</v>
      </c>
    </row>
    <row r="67" spans="1:16" ht="27.65" customHeight="1" x14ac:dyDescent="0.3">
      <c r="A67" s="311" t="s">
        <v>66</v>
      </c>
      <c r="B67" s="312"/>
      <c r="C67" s="313"/>
      <c r="D67" s="16"/>
      <c r="E67" s="12"/>
      <c r="F67" s="61"/>
      <c r="G67" s="61"/>
      <c r="H67" s="63"/>
      <c r="I67" s="61">
        <f>SUM(E67:H67)</f>
        <v>0</v>
      </c>
      <c r="J67" s="12">
        <v>159119</v>
      </c>
      <c r="K67" s="61"/>
      <c r="L67" s="61"/>
      <c r="M67" s="63"/>
      <c r="N67" s="61">
        <f>SUM(J67:M67)</f>
        <v>159119</v>
      </c>
      <c r="O67" s="12">
        <f t="shared" si="0"/>
        <v>159119</v>
      </c>
      <c r="P67" s="16"/>
    </row>
    <row r="68" spans="1:16" ht="15.5" customHeight="1" x14ac:dyDescent="0.3">
      <c r="A68" s="43"/>
      <c r="B68" s="44"/>
      <c r="C68" s="45"/>
      <c r="D68" s="16"/>
      <c r="E68" s="12"/>
      <c r="F68" s="12"/>
      <c r="G68" s="12"/>
      <c r="H68" s="26"/>
      <c r="I68" s="13"/>
      <c r="J68" s="12"/>
      <c r="K68" s="12"/>
      <c r="L68" s="12"/>
      <c r="M68" s="26"/>
      <c r="N68" s="13"/>
      <c r="O68" s="71"/>
      <c r="P68" s="16"/>
    </row>
    <row r="69" spans="1:16" x14ac:dyDescent="0.3">
      <c r="A69" s="295" t="s">
        <v>70</v>
      </c>
      <c r="B69" s="296"/>
      <c r="C69" s="297"/>
      <c r="D69" s="11"/>
      <c r="E69" s="82"/>
      <c r="F69" s="82"/>
      <c r="G69" s="82"/>
      <c r="H69" s="83"/>
      <c r="I69" s="93"/>
      <c r="J69" s="82"/>
      <c r="K69" s="82"/>
      <c r="L69" s="82"/>
      <c r="M69" s="83"/>
      <c r="N69" s="93"/>
      <c r="O69" s="103"/>
      <c r="P69" s="87"/>
    </row>
    <row r="70" spans="1:16" ht="15.5" customHeight="1" x14ac:dyDescent="0.3">
      <c r="A70" s="308" t="s">
        <v>74</v>
      </c>
      <c r="B70" s="309"/>
      <c r="C70" s="310"/>
      <c r="D70" s="11"/>
      <c r="E70" s="61"/>
      <c r="F70" s="61"/>
      <c r="G70" s="61"/>
      <c r="H70" s="61"/>
      <c r="I70" s="62">
        <f>SUM(E70:H70)</f>
        <v>0</v>
      </c>
      <c r="J70" s="61">
        <v>798</v>
      </c>
      <c r="K70" s="61"/>
      <c r="L70" s="61"/>
      <c r="M70" s="61"/>
      <c r="N70" s="62">
        <f>SUM(J70:M70)</f>
        <v>798</v>
      </c>
      <c r="O70" s="12">
        <f t="shared" si="0"/>
        <v>798</v>
      </c>
      <c r="P70" s="11"/>
    </row>
    <row r="71" spans="1:16" ht="15.5" customHeight="1" x14ac:dyDescent="0.3">
      <c r="A71" s="308" t="s">
        <v>71</v>
      </c>
      <c r="B71" s="309"/>
      <c r="C71" s="310"/>
      <c r="D71" s="11"/>
      <c r="E71" s="61"/>
      <c r="F71" s="61"/>
      <c r="G71" s="61"/>
      <c r="H71" s="63"/>
      <c r="I71" s="62">
        <f t="shared" ref="I71:I72" si="8">SUM(E71:H71)</f>
        <v>0</v>
      </c>
      <c r="J71" s="61">
        <v>71</v>
      </c>
      <c r="K71" s="61"/>
      <c r="L71" s="61"/>
      <c r="M71" s="63"/>
      <c r="N71" s="62">
        <f t="shared" ref="N71:N72" si="9">SUM(J71:M71)</f>
        <v>71</v>
      </c>
      <c r="O71" s="12">
        <f t="shared" si="0"/>
        <v>71</v>
      </c>
      <c r="P71" s="11"/>
    </row>
    <row r="72" spans="1:16" ht="15.5" customHeight="1" x14ac:dyDescent="0.3">
      <c r="A72" s="308" t="s">
        <v>72</v>
      </c>
      <c r="B72" s="309"/>
      <c r="C72" s="310"/>
      <c r="D72" s="11"/>
      <c r="E72" s="12"/>
      <c r="F72" s="12"/>
      <c r="G72" s="12"/>
      <c r="H72" s="26"/>
      <c r="I72" s="62">
        <f t="shared" si="8"/>
        <v>0</v>
      </c>
      <c r="J72" s="12">
        <v>35</v>
      </c>
      <c r="K72" s="12"/>
      <c r="L72" s="12"/>
      <c r="M72" s="26"/>
      <c r="N72" s="62">
        <f t="shared" si="9"/>
        <v>35</v>
      </c>
      <c r="O72" s="12">
        <f t="shared" si="0"/>
        <v>35</v>
      </c>
      <c r="P72" s="11"/>
    </row>
    <row r="73" spans="1:16" ht="15.5" customHeight="1" x14ac:dyDescent="0.3">
      <c r="A73" s="214"/>
      <c r="B73" s="215"/>
      <c r="C73" s="216"/>
      <c r="D73" s="11"/>
      <c r="E73" s="12"/>
      <c r="F73" s="12"/>
      <c r="G73" s="12"/>
      <c r="H73" s="26"/>
      <c r="I73" s="62"/>
      <c r="J73" s="12"/>
      <c r="K73" s="12"/>
      <c r="L73" s="12"/>
      <c r="M73" s="26"/>
      <c r="N73" s="62"/>
      <c r="O73" s="12"/>
      <c r="P73" s="11"/>
    </row>
    <row r="74" spans="1:16" x14ac:dyDescent="0.3">
      <c r="A74" s="295" t="s">
        <v>73</v>
      </c>
      <c r="B74" s="296"/>
      <c r="C74" s="297"/>
      <c r="D74" s="11"/>
      <c r="E74" s="12"/>
      <c r="F74" s="12"/>
      <c r="G74" s="12"/>
      <c r="H74" s="26"/>
      <c r="I74" s="62">
        <f>SUM(E74:H74)</f>
        <v>0</v>
      </c>
      <c r="J74" s="12">
        <v>0</v>
      </c>
      <c r="K74" s="12"/>
      <c r="L74" s="12"/>
      <c r="M74" s="26"/>
      <c r="N74" s="62">
        <f>SUM(J74:M74)</f>
        <v>0</v>
      </c>
      <c r="O74" s="12">
        <f t="shared" si="0"/>
        <v>0</v>
      </c>
      <c r="P74" s="11"/>
    </row>
    <row r="75" spans="1:16" ht="15.5" customHeight="1" x14ac:dyDescent="0.3">
      <c r="A75" s="214"/>
      <c r="B75" s="215"/>
      <c r="C75" s="216"/>
      <c r="D75" s="11"/>
      <c r="E75" s="12"/>
      <c r="F75" s="12"/>
      <c r="G75" s="12"/>
      <c r="H75" s="26"/>
      <c r="I75" s="13"/>
      <c r="J75" s="12"/>
      <c r="K75" s="12"/>
      <c r="L75" s="12"/>
      <c r="M75" s="26"/>
      <c r="N75" s="13"/>
      <c r="O75" s="104"/>
      <c r="P75" s="11"/>
    </row>
    <row r="76" spans="1:16" x14ac:dyDescent="0.3">
      <c r="A76" s="208" t="s">
        <v>42</v>
      </c>
      <c r="B76" s="209"/>
      <c r="C76" s="210"/>
      <c r="D76" s="19">
        <v>310300000000000</v>
      </c>
      <c r="E76" s="34"/>
      <c r="F76" s="34"/>
      <c r="G76" s="34"/>
      <c r="H76" s="29"/>
      <c r="I76" s="51"/>
      <c r="J76" s="34"/>
      <c r="K76" s="34"/>
      <c r="L76" s="34"/>
      <c r="M76" s="29"/>
      <c r="N76" s="51"/>
      <c r="O76" s="71"/>
      <c r="P76" s="9"/>
    </row>
    <row r="77" spans="1:16" x14ac:dyDescent="0.3">
      <c r="A77" s="211" t="s">
        <v>23</v>
      </c>
      <c r="B77" s="212"/>
      <c r="C77" s="213"/>
      <c r="D77" s="11"/>
      <c r="E77" s="82"/>
      <c r="F77" s="82"/>
      <c r="G77" s="82"/>
      <c r="H77" s="83"/>
      <c r="I77" s="93"/>
      <c r="J77" s="82"/>
      <c r="K77" s="82"/>
      <c r="L77" s="82"/>
      <c r="M77" s="83"/>
      <c r="N77" s="93"/>
      <c r="O77" s="103"/>
      <c r="P77" s="87"/>
    </row>
    <row r="78" spans="1:16" ht="12.65" customHeight="1" x14ac:dyDescent="0.3">
      <c r="A78" s="243" t="s">
        <v>77</v>
      </c>
      <c r="B78" s="244"/>
      <c r="C78" s="245"/>
      <c r="D78" s="16"/>
      <c r="E78" s="82"/>
      <c r="F78" s="82"/>
      <c r="G78" s="82"/>
      <c r="H78" s="83"/>
      <c r="I78" s="86"/>
      <c r="J78" s="82"/>
      <c r="K78" s="82"/>
      <c r="L78" s="82"/>
      <c r="M78" s="83"/>
      <c r="N78" s="86"/>
      <c r="O78" s="103"/>
      <c r="P78" s="86"/>
    </row>
    <row r="79" spans="1:16" ht="15" customHeight="1" x14ac:dyDescent="0.3">
      <c r="A79" s="246" t="s">
        <v>78</v>
      </c>
      <c r="B79" s="247"/>
      <c r="C79" s="248"/>
      <c r="D79" s="11"/>
      <c r="E79" s="82"/>
      <c r="F79" s="82"/>
      <c r="G79" s="82"/>
      <c r="H79" s="65"/>
      <c r="I79" s="66">
        <f>H79</f>
        <v>0</v>
      </c>
      <c r="J79" s="82"/>
      <c r="K79" s="82"/>
      <c r="L79" s="82"/>
      <c r="M79" s="65"/>
      <c r="N79" s="66">
        <f>M79</f>
        <v>0</v>
      </c>
      <c r="O79" s="71">
        <f t="shared" si="0"/>
        <v>0</v>
      </c>
      <c r="P79" s="11"/>
    </row>
    <row r="80" spans="1:16" ht="15" customHeight="1" x14ac:dyDescent="0.3">
      <c r="A80" s="40"/>
      <c r="B80" s="41"/>
      <c r="C80" s="15" t="s">
        <v>108</v>
      </c>
      <c r="D80" s="11"/>
      <c r="E80" s="82"/>
      <c r="F80" s="82"/>
      <c r="G80" s="82"/>
      <c r="H80" s="63"/>
      <c r="I80" s="99">
        <f t="shared" ref="I80:I86" si="10">H80</f>
        <v>0</v>
      </c>
      <c r="J80" s="82"/>
      <c r="K80" s="82"/>
      <c r="L80" s="82"/>
      <c r="M80" s="63"/>
      <c r="N80" s="99">
        <f t="shared" ref="N80:N86" si="11">M80</f>
        <v>0</v>
      </c>
      <c r="O80" s="12">
        <f t="shared" si="0"/>
        <v>0</v>
      </c>
      <c r="P80" s="11"/>
    </row>
    <row r="81" spans="1:16" ht="30" customHeight="1" x14ac:dyDescent="0.3">
      <c r="A81" s="258" t="s">
        <v>76</v>
      </c>
      <c r="B81" s="259"/>
      <c r="C81" s="260"/>
      <c r="D81" s="11"/>
      <c r="E81" s="82"/>
      <c r="F81" s="82"/>
      <c r="G81" s="82"/>
      <c r="H81" s="65"/>
      <c r="I81" s="66">
        <f t="shared" si="10"/>
        <v>0</v>
      </c>
      <c r="J81" s="82"/>
      <c r="K81" s="82"/>
      <c r="L81" s="82"/>
      <c r="M81" s="65"/>
      <c r="N81" s="66">
        <f t="shared" si="11"/>
        <v>0</v>
      </c>
      <c r="O81" s="71">
        <f t="shared" si="0"/>
        <v>0</v>
      </c>
      <c r="P81" s="11"/>
    </row>
    <row r="82" spans="1:16" ht="15.5" customHeight="1" x14ac:dyDescent="0.3">
      <c r="A82" s="40"/>
      <c r="B82" s="41"/>
      <c r="C82" s="15" t="s">
        <v>108</v>
      </c>
      <c r="D82" s="11"/>
      <c r="E82" s="82"/>
      <c r="F82" s="82"/>
      <c r="G82" s="82"/>
      <c r="H82" s="63"/>
      <c r="I82" s="99">
        <f t="shared" si="10"/>
        <v>0</v>
      </c>
      <c r="J82" s="82"/>
      <c r="K82" s="82"/>
      <c r="L82" s="82"/>
      <c r="M82" s="63"/>
      <c r="N82" s="99">
        <f t="shared" si="11"/>
        <v>0</v>
      </c>
      <c r="O82" s="12">
        <f t="shared" si="0"/>
        <v>0</v>
      </c>
      <c r="P82" s="11"/>
    </row>
    <row r="83" spans="1:16" ht="15.5" customHeight="1" x14ac:dyDescent="0.3">
      <c r="A83" s="246" t="s">
        <v>79</v>
      </c>
      <c r="B83" s="247"/>
      <c r="C83" s="248"/>
      <c r="D83" s="11"/>
      <c r="E83" s="82"/>
      <c r="F83" s="82"/>
      <c r="G83" s="82"/>
      <c r="H83" s="65"/>
      <c r="I83" s="66">
        <f t="shared" si="10"/>
        <v>0</v>
      </c>
      <c r="J83" s="82"/>
      <c r="K83" s="82"/>
      <c r="L83" s="82"/>
      <c r="M83" s="65"/>
      <c r="N83" s="66">
        <f t="shared" si="11"/>
        <v>0</v>
      </c>
      <c r="O83" s="71">
        <f t="shared" si="0"/>
        <v>0</v>
      </c>
      <c r="P83" s="11"/>
    </row>
    <row r="84" spans="1:16" ht="15.5" customHeight="1" x14ac:dyDescent="0.3">
      <c r="A84" s="40"/>
      <c r="B84" s="41"/>
      <c r="C84" s="15" t="s">
        <v>108</v>
      </c>
      <c r="D84" s="11"/>
      <c r="E84" s="82"/>
      <c r="F84" s="82"/>
      <c r="G84" s="82"/>
      <c r="H84" s="63"/>
      <c r="I84" s="99">
        <f t="shared" si="10"/>
        <v>0</v>
      </c>
      <c r="J84" s="82"/>
      <c r="K84" s="82"/>
      <c r="L84" s="82"/>
      <c r="M84" s="63"/>
      <c r="N84" s="99">
        <f t="shared" si="11"/>
        <v>0</v>
      </c>
      <c r="O84" s="12">
        <f t="shared" si="0"/>
        <v>0</v>
      </c>
      <c r="P84" s="11"/>
    </row>
    <row r="85" spans="1:16" ht="15.5" customHeight="1" x14ac:dyDescent="0.3">
      <c r="A85" s="246" t="s">
        <v>81</v>
      </c>
      <c r="B85" s="247"/>
      <c r="C85" s="248"/>
      <c r="D85" s="11"/>
      <c r="E85" s="82"/>
      <c r="F85" s="82"/>
      <c r="G85" s="82"/>
      <c r="H85" s="65"/>
      <c r="I85" s="66">
        <f t="shared" si="10"/>
        <v>0</v>
      </c>
      <c r="J85" s="82"/>
      <c r="K85" s="82"/>
      <c r="L85" s="82"/>
      <c r="M85" s="65"/>
      <c r="N85" s="66">
        <f t="shared" si="11"/>
        <v>0</v>
      </c>
      <c r="O85" s="71">
        <f t="shared" ref="O85:O128" si="12">N85-I85</f>
        <v>0</v>
      </c>
      <c r="P85" s="11"/>
    </row>
    <row r="86" spans="1:16" ht="15.5" customHeight="1" x14ac:dyDescent="0.3">
      <c r="A86" s="37"/>
      <c r="B86" s="38"/>
      <c r="C86" s="15" t="s">
        <v>108</v>
      </c>
      <c r="D86" s="11"/>
      <c r="E86" s="82"/>
      <c r="F86" s="82"/>
      <c r="G86" s="82"/>
      <c r="H86" s="63"/>
      <c r="I86" s="99">
        <f t="shared" si="10"/>
        <v>0</v>
      </c>
      <c r="J86" s="82"/>
      <c r="K86" s="82"/>
      <c r="L86" s="82"/>
      <c r="M86" s="63"/>
      <c r="N86" s="99">
        <f t="shared" si="11"/>
        <v>0</v>
      </c>
      <c r="O86" s="12">
        <f t="shared" si="12"/>
        <v>0</v>
      </c>
      <c r="P86" s="11"/>
    </row>
    <row r="87" spans="1:16" ht="15.5" customHeight="1" x14ac:dyDescent="0.3">
      <c r="A87" s="214"/>
      <c r="B87" s="215"/>
      <c r="C87" s="216"/>
      <c r="D87" s="11"/>
      <c r="E87" s="12"/>
      <c r="F87" s="12"/>
      <c r="G87" s="12"/>
      <c r="H87" s="63"/>
      <c r="I87" s="13"/>
      <c r="J87" s="12"/>
      <c r="K87" s="12"/>
      <c r="L87" s="12"/>
      <c r="M87" s="63"/>
      <c r="N87" s="13"/>
      <c r="O87" s="71"/>
      <c r="P87" s="11"/>
    </row>
    <row r="88" spans="1:16" ht="13" customHeight="1" x14ac:dyDescent="0.3">
      <c r="A88" s="261" t="s">
        <v>80</v>
      </c>
      <c r="B88" s="262"/>
      <c r="C88" s="263"/>
      <c r="D88" s="16"/>
      <c r="E88" s="82"/>
      <c r="F88" s="82"/>
      <c r="G88" s="82"/>
      <c r="H88" s="64"/>
      <c r="I88" s="66">
        <f>H88</f>
        <v>0</v>
      </c>
      <c r="J88" s="82"/>
      <c r="K88" s="82"/>
      <c r="L88" s="82"/>
      <c r="M88" s="64"/>
      <c r="N88" s="66">
        <f>M88</f>
        <v>0</v>
      </c>
      <c r="O88" s="71">
        <f t="shared" si="12"/>
        <v>0</v>
      </c>
      <c r="P88" s="16"/>
    </row>
    <row r="89" spans="1:16" ht="15.5" customHeight="1" x14ac:dyDescent="0.3">
      <c r="A89" s="214"/>
      <c r="B89" s="215"/>
      <c r="C89" s="216"/>
      <c r="D89" s="11"/>
      <c r="E89" s="12"/>
      <c r="F89" s="12"/>
      <c r="G89" s="12"/>
      <c r="H89" s="26"/>
      <c r="I89" s="13"/>
      <c r="J89" s="12"/>
      <c r="K89" s="12"/>
      <c r="L89" s="12"/>
      <c r="M89" s="26"/>
      <c r="N89" s="13"/>
      <c r="O89" s="71"/>
      <c r="P89" s="11"/>
    </row>
    <row r="90" spans="1:16" x14ac:dyDescent="0.3">
      <c r="A90" s="264" t="s">
        <v>59</v>
      </c>
      <c r="B90" s="265"/>
      <c r="C90" s="266"/>
      <c r="D90" s="11"/>
      <c r="E90" s="82"/>
      <c r="F90" s="82"/>
      <c r="G90" s="82"/>
      <c r="H90" s="83"/>
      <c r="I90" s="93"/>
      <c r="J90" s="82"/>
      <c r="K90" s="82"/>
      <c r="L90" s="82"/>
      <c r="M90" s="83"/>
      <c r="N90" s="93"/>
      <c r="O90" s="103"/>
      <c r="P90" s="87"/>
    </row>
    <row r="91" spans="1:16" x14ac:dyDescent="0.3">
      <c r="A91" s="264" t="s">
        <v>82</v>
      </c>
      <c r="B91" s="265"/>
      <c r="C91" s="266"/>
      <c r="D91" s="11"/>
      <c r="E91" s="82"/>
      <c r="F91" s="82"/>
      <c r="G91" s="82"/>
      <c r="H91" s="83"/>
      <c r="I91" s="93"/>
      <c r="J91" s="82"/>
      <c r="K91" s="82"/>
      <c r="L91" s="82"/>
      <c r="M91" s="83"/>
      <c r="N91" s="93"/>
      <c r="O91" s="103"/>
      <c r="P91" s="87"/>
    </row>
    <row r="92" spans="1:16" ht="15.5" customHeight="1" x14ac:dyDescent="0.3">
      <c r="A92" s="246" t="s">
        <v>83</v>
      </c>
      <c r="B92" s="247"/>
      <c r="C92" s="248"/>
      <c r="D92" s="11"/>
      <c r="E92" s="82"/>
      <c r="F92" s="82"/>
      <c r="G92" s="26"/>
      <c r="H92" s="83"/>
      <c r="I92" s="13">
        <f>G92</f>
        <v>0</v>
      </c>
      <c r="J92" s="82"/>
      <c r="K92" s="82"/>
      <c r="L92" s="26"/>
      <c r="M92" s="83"/>
      <c r="N92" s="13">
        <f>L92</f>
        <v>0</v>
      </c>
      <c r="O92" s="12">
        <f t="shared" si="12"/>
        <v>0</v>
      </c>
      <c r="P92" s="11"/>
    </row>
    <row r="93" spans="1:16" ht="15.5" customHeight="1" x14ac:dyDescent="0.3">
      <c r="A93" s="246" t="s">
        <v>84</v>
      </c>
      <c r="B93" s="247"/>
      <c r="C93" s="248"/>
      <c r="D93" s="11"/>
      <c r="E93" s="82"/>
      <c r="F93" s="82"/>
      <c r="G93" s="26"/>
      <c r="H93" s="83"/>
      <c r="I93" s="13">
        <f t="shared" ref="I93:I96" si="13">G93</f>
        <v>0</v>
      </c>
      <c r="J93" s="82"/>
      <c r="K93" s="82"/>
      <c r="L93" s="26"/>
      <c r="M93" s="83"/>
      <c r="N93" s="13">
        <f t="shared" ref="N93:N96" si="14">L93</f>
        <v>0</v>
      </c>
      <c r="O93" s="12">
        <f t="shared" si="12"/>
        <v>0</v>
      </c>
      <c r="P93" s="11"/>
    </row>
    <row r="94" spans="1:16" ht="15.5" customHeight="1" x14ac:dyDescent="0.3">
      <c r="A94" s="246" t="s">
        <v>85</v>
      </c>
      <c r="B94" s="247"/>
      <c r="C94" s="248"/>
      <c r="D94" s="11"/>
      <c r="E94" s="82"/>
      <c r="F94" s="82"/>
      <c r="G94" s="26"/>
      <c r="H94" s="83"/>
      <c r="I94" s="13">
        <f t="shared" si="13"/>
        <v>0</v>
      </c>
      <c r="J94" s="82"/>
      <c r="K94" s="82"/>
      <c r="L94" s="26"/>
      <c r="M94" s="83"/>
      <c r="N94" s="13">
        <f t="shared" si="14"/>
        <v>0</v>
      </c>
      <c r="O94" s="12">
        <f t="shared" si="12"/>
        <v>0</v>
      </c>
      <c r="P94" s="11"/>
    </row>
    <row r="95" spans="1:16" ht="34.75" customHeight="1" x14ac:dyDescent="0.3">
      <c r="A95" s="252" t="s">
        <v>112</v>
      </c>
      <c r="B95" s="253"/>
      <c r="C95" s="254"/>
      <c r="D95" s="11"/>
      <c r="E95" s="82"/>
      <c r="F95" s="82"/>
      <c r="G95" s="26"/>
      <c r="H95" s="83"/>
      <c r="I95" s="13">
        <f t="shared" si="13"/>
        <v>0</v>
      </c>
      <c r="J95" s="82"/>
      <c r="K95" s="82"/>
      <c r="L95" s="26"/>
      <c r="M95" s="83"/>
      <c r="N95" s="13">
        <f t="shared" si="14"/>
        <v>0</v>
      </c>
      <c r="O95" s="12">
        <f t="shared" si="12"/>
        <v>0</v>
      </c>
      <c r="P95" s="11"/>
    </row>
    <row r="96" spans="1:16" x14ac:dyDescent="0.3">
      <c r="A96" s="252" t="s">
        <v>65</v>
      </c>
      <c r="B96" s="253"/>
      <c r="C96" s="254"/>
      <c r="D96" s="11"/>
      <c r="E96" s="82"/>
      <c r="F96" s="82"/>
      <c r="G96" s="68"/>
      <c r="H96" s="84"/>
      <c r="I96" s="13">
        <f t="shared" si="13"/>
        <v>0</v>
      </c>
      <c r="J96" s="82"/>
      <c r="K96" s="82"/>
      <c r="L96" s="68"/>
      <c r="M96" s="84"/>
      <c r="N96" s="13">
        <f t="shared" si="14"/>
        <v>0</v>
      </c>
      <c r="O96" s="12">
        <f t="shared" si="12"/>
        <v>0</v>
      </c>
      <c r="P96" s="11"/>
    </row>
    <row r="97" spans="1:16" x14ac:dyDescent="0.3">
      <c r="A97" s="211"/>
      <c r="B97" s="212"/>
      <c r="C97" s="213"/>
      <c r="D97" s="11"/>
      <c r="E97" s="12"/>
      <c r="F97" s="12"/>
      <c r="G97" s="12"/>
      <c r="H97" s="26"/>
      <c r="I97" s="16"/>
      <c r="J97" s="12"/>
      <c r="K97" s="12"/>
      <c r="L97" s="12"/>
      <c r="M97" s="26"/>
      <c r="N97" s="16"/>
      <c r="O97" s="104"/>
      <c r="P97" s="11"/>
    </row>
    <row r="98" spans="1:16" x14ac:dyDescent="0.3">
      <c r="A98" s="208" t="s">
        <v>41</v>
      </c>
      <c r="B98" s="209"/>
      <c r="C98" s="210"/>
      <c r="D98" s="19">
        <v>310400000000000</v>
      </c>
      <c r="E98" s="34"/>
      <c r="F98" s="34"/>
      <c r="G98" s="34"/>
      <c r="H98" s="29"/>
      <c r="I98" s="51"/>
      <c r="J98" s="9"/>
      <c r="K98" s="9"/>
      <c r="L98" s="9"/>
      <c r="M98" s="9"/>
      <c r="N98" s="9"/>
      <c r="O98" s="71"/>
      <c r="P98" s="9"/>
    </row>
    <row r="99" spans="1:16" x14ac:dyDescent="0.3">
      <c r="A99" s="211" t="s">
        <v>86</v>
      </c>
      <c r="B99" s="212"/>
      <c r="C99" s="213"/>
      <c r="D99" s="11"/>
      <c r="E99" s="82"/>
      <c r="F99" s="82"/>
      <c r="G99" s="82"/>
      <c r="H99" s="83"/>
      <c r="I99" s="93"/>
      <c r="J99" s="87"/>
      <c r="K99" s="87"/>
      <c r="L99" s="87"/>
      <c r="M99" s="87"/>
      <c r="N99" s="87"/>
      <c r="O99" s="103"/>
      <c r="P99" s="87"/>
    </row>
    <row r="100" spans="1:16" ht="13" customHeight="1" x14ac:dyDescent="0.3">
      <c r="A100" s="243" t="s">
        <v>87</v>
      </c>
      <c r="B100" s="244"/>
      <c r="C100" s="245"/>
      <c r="D100" s="16"/>
      <c r="E100" s="82"/>
      <c r="F100" s="82"/>
      <c r="G100" s="82"/>
      <c r="H100" s="83"/>
      <c r="I100" s="86"/>
      <c r="J100" s="86"/>
      <c r="K100" s="86"/>
      <c r="L100" s="86"/>
      <c r="M100" s="86"/>
      <c r="N100" s="86"/>
      <c r="O100" s="103"/>
      <c r="P100" s="86"/>
    </row>
    <row r="101" spans="1:16" ht="15.5" customHeight="1" x14ac:dyDescent="0.3">
      <c r="A101" s="246" t="s">
        <v>56</v>
      </c>
      <c r="B101" s="247"/>
      <c r="C101" s="248"/>
      <c r="D101" s="11"/>
      <c r="E101" s="82"/>
      <c r="F101" s="82"/>
      <c r="G101" s="82"/>
      <c r="H101" s="68"/>
      <c r="I101" s="96">
        <f>H101</f>
        <v>0</v>
      </c>
      <c r="J101" s="82"/>
      <c r="K101" s="82"/>
      <c r="L101" s="82"/>
      <c r="M101" s="101"/>
      <c r="N101" s="102">
        <f>M101</f>
        <v>0</v>
      </c>
      <c r="O101" s="71">
        <f t="shared" si="12"/>
        <v>0</v>
      </c>
      <c r="P101" s="11"/>
    </row>
    <row r="102" spans="1:16" ht="15.5" customHeight="1" x14ac:dyDescent="0.3">
      <c r="A102" s="246" t="s">
        <v>88</v>
      </c>
      <c r="B102" s="247"/>
      <c r="C102" s="248"/>
      <c r="D102" s="11"/>
      <c r="E102" s="82"/>
      <c r="F102" s="82"/>
      <c r="G102" s="82"/>
      <c r="H102" s="31"/>
      <c r="I102" s="96">
        <f>H102</f>
        <v>0</v>
      </c>
      <c r="J102" s="82"/>
      <c r="K102" s="82"/>
      <c r="L102" s="82"/>
      <c r="M102" s="101"/>
      <c r="N102" s="102">
        <f>M102</f>
        <v>0</v>
      </c>
      <c r="O102" s="71">
        <f t="shared" si="12"/>
        <v>0</v>
      </c>
      <c r="P102" s="11"/>
    </row>
    <row r="103" spans="1:16" ht="13" customHeight="1" x14ac:dyDescent="0.3">
      <c r="A103" s="243" t="s">
        <v>89</v>
      </c>
      <c r="B103" s="244"/>
      <c r="C103" s="245"/>
      <c r="D103" s="16"/>
      <c r="E103" s="82"/>
      <c r="F103" s="82"/>
      <c r="G103" s="82"/>
      <c r="H103" s="100"/>
      <c r="I103" s="86"/>
      <c r="J103" s="82"/>
      <c r="K103" s="82"/>
      <c r="L103" s="82"/>
      <c r="M103" s="86"/>
      <c r="N103" s="86"/>
      <c r="O103" s="103"/>
      <c r="P103" s="86"/>
    </row>
    <row r="104" spans="1:16" ht="15.5" customHeight="1" x14ac:dyDescent="0.3">
      <c r="A104" s="246" t="s">
        <v>56</v>
      </c>
      <c r="B104" s="247"/>
      <c r="C104" s="248"/>
      <c r="D104" s="11"/>
      <c r="E104" s="82"/>
      <c r="F104" s="82"/>
      <c r="G104" s="82"/>
      <c r="H104" s="31"/>
      <c r="I104" s="96">
        <f>H104</f>
        <v>0</v>
      </c>
      <c r="J104" s="82"/>
      <c r="K104" s="82"/>
      <c r="L104" s="82"/>
      <c r="M104" s="101"/>
      <c r="N104" s="71">
        <f>M104</f>
        <v>0</v>
      </c>
      <c r="O104" s="71">
        <f t="shared" si="12"/>
        <v>0</v>
      </c>
      <c r="P104" s="11"/>
    </row>
    <row r="105" spans="1:16" ht="15.5" customHeight="1" x14ac:dyDescent="0.3">
      <c r="A105" s="246" t="s">
        <v>88</v>
      </c>
      <c r="B105" s="247"/>
      <c r="C105" s="248"/>
      <c r="D105" s="11"/>
      <c r="E105" s="82"/>
      <c r="F105" s="82"/>
      <c r="G105" s="82"/>
      <c r="H105" s="31"/>
      <c r="I105" s="96">
        <f>H105</f>
        <v>0</v>
      </c>
      <c r="J105" s="82"/>
      <c r="K105" s="82"/>
      <c r="L105" s="82"/>
      <c r="M105" s="101"/>
      <c r="N105" s="71">
        <f>M105</f>
        <v>0</v>
      </c>
      <c r="O105" s="71">
        <f t="shared" si="12"/>
        <v>0</v>
      </c>
      <c r="P105" s="11"/>
    </row>
    <row r="106" spans="1:16" ht="27.65" customHeight="1" x14ac:dyDescent="0.3">
      <c r="A106" s="243" t="s">
        <v>90</v>
      </c>
      <c r="B106" s="244"/>
      <c r="C106" s="245"/>
      <c r="D106" s="16"/>
      <c r="E106" s="82"/>
      <c r="F106" s="82"/>
      <c r="G106" s="82"/>
      <c r="H106" s="83"/>
      <c r="I106" s="86"/>
      <c r="J106" s="86"/>
      <c r="K106" s="86"/>
      <c r="L106" s="86"/>
      <c r="M106" s="86"/>
      <c r="N106" s="86"/>
      <c r="O106" s="103"/>
      <c r="P106" s="86"/>
    </row>
    <row r="107" spans="1:16" ht="15.5" customHeight="1" x14ac:dyDescent="0.3">
      <c r="A107" s="246" t="s">
        <v>91</v>
      </c>
      <c r="B107" s="247"/>
      <c r="C107" s="248"/>
      <c r="D107" s="11"/>
      <c r="E107" s="109">
        <v>1</v>
      </c>
      <c r="F107" s="82"/>
      <c r="G107" s="82"/>
      <c r="H107" s="83"/>
      <c r="I107" s="96">
        <f>E107</f>
        <v>1</v>
      </c>
      <c r="J107" s="156" t="s">
        <v>170</v>
      </c>
      <c r="K107" s="82"/>
      <c r="L107" s="82"/>
      <c r="M107" s="83"/>
      <c r="N107" s="71" t="str">
        <f>J107</f>
        <v>-</v>
      </c>
      <c r="O107" s="71" t="e">
        <f t="shared" si="12"/>
        <v>#VALUE!</v>
      </c>
      <c r="P107" s="11"/>
    </row>
    <row r="108" spans="1:16" ht="15.5" customHeight="1" x14ac:dyDescent="0.3">
      <c r="A108" s="246" t="s">
        <v>92</v>
      </c>
      <c r="B108" s="247"/>
      <c r="C108" s="248"/>
      <c r="D108" s="11"/>
      <c r="E108" s="109">
        <v>1</v>
      </c>
      <c r="F108" s="82"/>
      <c r="G108" s="82"/>
      <c r="H108" s="83"/>
      <c r="I108" s="96">
        <f t="shared" ref="I108:I109" si="15">E108</f>
        <v>1</v>
      </c>
      <c r="J108" s="156" t="s">
        <v>170</v>
      </c>
      <c r="K108" s="82"/>
      <c r="L108" s="82"/>
      <c r="M108" s="83"/>
      <c r="N108" s="71" t="str">
        <f t="shared" ref="N108:N109" si="16">J108</f>
        <v>-</v>
      </c>
      <c r="O108" s="71" t="e">
        <f t="shared" si="12"/>
        <v>#VALUE!</v>
      </c>
      <c r="P108" s="11"/>
    </row>
    <row r="109" spans="1:16" ht="15.5" customHeight="1" x14ac:dyDescent="0.3">
      <c r="A109" s="246" t="s">
        <v>93</v>
      </c>
      <c r="B109" s="247"/>
      <c r="C109" s="248"/>
      <c r="D109" s="11"/>
      <c r="E109" s="109">
        <v>1</v>
      </c>
      <c r="F109" s="82"/>
      <c r="G109" s="82"/>
      <c r="H109" s="83"/>
      <c r="I109" s="96">
        <f t="shared" si="15"/>
        <v>1</v>
      </c>
      <c r="J109" s="156" t="s">
        <v>170</v>
      </c>
      <c r="K109" s="82"/>
      <c r="L109" s="82"/>
      <c r="M109" s="83"/>
      <c r="N109" s="71" t="str">
        <f t="shared" si="16"/>
        <v>-</v>
      </c>
      <c r="O109" s="71" t="e">
        <f t="shared" si="12"/>
        <v>#VALUE!</v>
      </c>
      <c r="P109" s="11"/>
    </row>
    <row r="110" spans="1:16" ht="15.5" customHeight="1" x14ac:dyDescent="0.3">
      <c r="A110" s="14"/>
      <c r="B110" s="3"/>
      <c r="C110" s="15"/>
      <c r="D110" s="11"/>
      <c r="E110" s="12"/>
      <c r="F110" s="12"/>
      <c r="G110" s="12"/>
      <c r="H110" s="26"/>
      <c r="I110" s="13"/>
      <c r="J110" s="11"/>
      <c r="K110" s="11"/>
      <c r="L110" s="11"/>
      <c r="M110" s="11"/>
      <c r="N110" s="11"/>
      <c r="O110" s="71"/>
      <c r="P110" s="11"/>
    </row>
    <row r="111" spans="1:16" x14ac:dyDescent="0.3">
      <c r="A111" s="211" t="s">
        <v>24</v>
      </c>
      <c r="B111" s="212"/>
      <c r="C111" s="213"/>
      <c r="D111" s="11"/>
      <c r="E111" s="82"/>
      <c r="F111" s="82"/>
      <c r="G111" s="82"/>
      <c r="H111" s="83"/>
      <c r="I111" s="93"/>
      <c r="J111" s="87"/>
      <c r="K111" s="87"/>
      <c r="L111" s="87"/>
      <c r="M111" s="87"/>
      <c r="N111" s="87"/>
      <c r="O111" s="103"/>
      <c r="P111" s="87"/>
    </row>
    <row r="112" spans="1:16" s="22" customFormat="1" ht="22.25" customHeight="1" x14ac:dyDescent="0.3">
      <c r="A112" s="252" t="s">
        <v>94</v>
      </c>
      <c r="B112" s="253"/>
      <c r="C112" s="254"/>
      <c r="D112" s="16"/>
      <c r="E112" s="82"/>
      <c r="F112" s="82"/>
      <c r="G112" s="82"/>
      <c r="H112" s="83"/>
      <c r="I112" s="86"/>
      <c r="J112" s="86"/>
      <c r="K112" s="86"/>
      <c r="L112" s="86"/>
      <c r="M112" s="86"/>
      <c r="N112" s="86"/>
      <c r="O112" s="103"/>
      <c r="P112" s="86"/>
    </row>
    <row r="113" spans="1:16" ht="15.5" customHeight="1" x14ac:dyDescent="0.3">
      <c r="A113" s="211" t="s">
        <v>28</v>
      </c>
      <c r="B113" s="212"/>
      <c r="C113" s="213"/>
      <c r="D113" s="11"/>
      <c r="E113" s="82"/>
      <c r="F113" s="82"/>
      <c r="G113" s="82"/>
      <c r="H113" s="63"/>
      <c r="I113" s="13">
        <f>H113</f>
        <v>0</v>
      </c>
      <c r="J113" s="82"/>
      <c r="K113" s="82"/>
      <c r="L113" s="82"/>
      <c r="M113" s="11"/>
      <c r="N113" s="12">
        <f>M113</f>
        <v>0</v>
      </c>
      <c r="O113" s="12">
        <f t="shared" si="12"/>
        <v>0</v>
      </c>
      <c r="P113" s="11"/>
    </row>
    <row r="114" spans="1:16" ht="15.5" customHeight="1" x14ac:dyDescent="0.3">
      <c r="A114" s="211" t="s">
        <v>29</v>
      </c>
      <c r="B114" s="212"/>
      <c r="C114" s="213"/>
      <c r="D114" s="11"/>
      <c r="E114" s="82"/>
      <c r="F114" s="82"/>
      <c r="G114" s="82"/>
      <c r="H114" s="63"/>
      <c r="I114" s="13">
        <f>H114</f>
        <v>0</v>
      </c>
      <c r="J114" s="82"/>
      <c r="K114" s="82"/>
      <c r="L114" s="82"/>
      <c r="M114" s="11"/>
      <c r="N114" s="12">
        <f>M114</f>
        <v>0</v>
      </c>
      <c r="O114" s="12">
        <f t="shared" si="12"/>
        <v>0</v>
      </c>
      <c r="P114" s="11"/>
    </row>
    <row r="115" spans="1:16" ht="15.5" customHeight="1" x14ac:dyDescent="0.3">
      <c r="A115" s="14"/>
      <c r="B115" s="3"/>
      <c r="C115" s="15"/>
      <c r="D115" s="11"/>
      <c r="E115" s="12"/>
      <c r="F115" s="12"/>
      <c r="G115" s="12"/>
      <c r="H115" s="26"/>
      <c r="I115" s="13"/>
      <c r="J115" s="11"/>
      <c r="K115" s="11"/>
      <c r="L115" s="11"/>
      <c r="M115" s="11"/>
      <c r="N115" s="11"/>
      <c r="O115" s="71"/>
      <c r="P115" s="11"/>
    </row>
    <row r="116" spans="1:16" ht="13" customHeight="1" x14ac:dyDescent="0.3">
      <c r="A116" s="243" t="s">
        <v>95</v>
      </c>
      <c r="B116" s="244"/>
      <c r="C116" s="245"/>
      <c r="D116" s="11"/>
      <c r="E116" s="82"/>
      <c r="F116" s="82"/>
      <c r="G116" s="82"/>
      <c r="H116" s="83"/>
      <c r="I116" s="86"/>
      <c r="J116" s="87"/>
      <c r="K116" s="87"/>
      <c r="L116" s="87"/>
      <c r="M116" s="87"/>
      <c r="N116" s="87"/>
      <c r="O116" s="103"/>
      <c r="P116" s="87"/>
    </row>
    <row r="117" spans="1:16" ht="15.5" customHeight="1" x14ac:dyDescent="0.3">
      <c r="A117" s="211" t="s">
        <v>30</v>
      </c>
      <c r="B117" s="212"/>
      <c r="C117" s="213"/>
      <c r="D117" s="11"/>
      <c r="E117" s="82"/>
      <c r="F117" s="82"/>
      <c r="G117" s="82"/>
      <c r="H117" s="26"/>
      <c r="I117" s="13">
        <f>H117</f>
        <v>0</v>
      </c>
      <c r="J117" s="82"/>
      <c r="K117" s="82"/>
      <c r="L117" s="82"/>
      <c r="M117" s="11"/>
      <c r="N117" s="12">
        <f>M117</f>
        <v>0</v>
      </c>
      <c r="O117" s="12">
        <f t="shared" si="12"/>
        <v>0</v>
      </c>
      <c r="P117" s="11"/>
    </row>
    <row r="118" spans="1:16" ht="15.5" customHeight="1" x14ac:dyDescent="0.3">
      <c r="A118" s="211" t="s">
        <v>31</v>
      </c>
      <c r="B118" s="212"/>
      <c r="C118" s="213"/>
      <c r="D118" s="11"/>
      <c r="E118" s="82"/>
      <c r="F118" s="82"/>
      <c r="G118" s="82"/>
      <c r="H118" s="26"/>
      <c r="I118" s="13">
        <f t="shared" ref="I118:I119" si="17">H118</f>
        <v>0</v>
      </c>
      <c r="J118" s="82"/>
      <c r="K118" s="82"/>
      <c r="L118" s="82"/>
      <c r="M118" s="11"/>
      <c r="N118" s="12">
        <f t="shared" ref="N118:N119" si="18">M118</f>
        <v>0</v>
      </c>
      <c r="O118" s="12">
        <f t="shared" si="12"/>
        <v>0</v>
      </c>
      <c r="P118" s="11"/>
    </row>
    <row r="119" spans="1:16" ht="15.5" customHeight="1" x14ac:dyDescent="0.3">
      <c r="A119" s="211" t="s">
        <v>32</v>
      </c>
      <c r="B119" s="212"/>
      <c r="C119" s="213"/>
      <c r="D119" s="11"/>
      <c r="E119" s="82"/>
      <c r="F119" s="82"/>
      <c r="G119" s="82"/>
      <c r="H119" s="26"/>
      <c r="I119" s="13">
        <f t="shared" si="17"/>
        <v>0</v>
      </c>
      <c r="J119" s="82"/>
      <c r="K119" s="82"/>
      <c r="L119" s="82"/>
      <c r="M119" s="11"/>
      <c r="N119" s="12">
        <f t="shared" si="18"/>
        <v>0</v>
      </c>
      <c r="O119" s="12">
        <f t="shared" si="12"/>
        <v>0</v>
      </c>
      <c r="P119" s="11"/>
    </row>
    <row r="120" spans="1:16" ht="13" customHeight="1" x14ac:dyDescent="0.3">
      <c r="A120" s="261"/>
      <c r="B120" s="262"/>
      <c r="C120" s="263"/>
      <c r="D120" s="16"/>
      <c r="E120" s="12"/>
      <c r="F120" s="12"/>
      <c r="G120" s="12"/>
      <c r="H120" s="26"/>
      <c r="I120" s="16"/>
      <c r="J120" s="16"/>
      <c r="K120" s="16"/>
      <c r="L120" s="16"/>
      <c r="M120" s="16"/>
      <c r="N120" s="16"/>
      <c r="O120" s="104"/>
      <c r="P120" s="16"/>
    </row>
    <row r="121" spans="1:16" x14ac:dyDescent="0.3">
      <c r="A121" s="208" t="s">
        <v>40</v>
      </c>
      <c r="B121" s="209"/>
      <c r="C121" s="210"/>
      <c r="D121" s="19">
        <v>310500000000000</v>
      </c>
      <c r="E121" s="105"/>
      <c r="F121" s="105"/>
      <c r="G121" s="105"/>
      <c r="H121" s="106"/>
      <c r="I121" s="107"/>
      <c r="J121" s="108"/>
      <c r="K121" s="108"/>
      <c r="L121" s="108"/>
      <c r="M121" s="108"/>
      <c r="N121" s="108"/>
      <c r="O121" s="103"/>
      <c r="P121" s="108"/>
    </row>
    <row r="122" spans="1:16" x14ac:dyDescent="0.3">
      <c r="A122" s="233" t="s">
        <v>86</v>
      </c>
      <c r="B122" s="234"/>
      <c r="C122" s="235"/>
      <c r="D122" s="87"/>
      <c r="E122" s="82"/>
      <c r="F122" s="82"/>
      <c r="G122" s="82"/>
      <c r="H122" s="83"/>
      <c r="I122" s="93"/>
      <c r="J122" s="87"/>
      <c r="K122" s="87"/>
      <c r="L122" s="87"/>
      <c r="M122" s="87"/>
      <c r="N122" s="87"/>
      <c r="O122" s="103"/>
      <c r="P122" s="87"/>
    </row>
    <row r="123" spans="1:16" s="10" customFormat="1" ht="28.25" customHeight="1" x14ac:dyDescent="0.35">
      <c r="A123" s="227" t="s">
        <v>96</v>
      </c>
      <c r="B123" s="228"/>
      <c r="C123" s="229"/>
      <c r="D123" s="12"/>
      <c r="E123" s="98"/>
      <c r="F123" s="98"/>
      <c r="G123" s="98"/>
      <c r="H123" s="68"/>
      <c r="I123" s="98" t="e">
        <f>AVERAGE(E123:H123)</f>
        <v>#DIV/0!</v>
      </c>
      <c r="J123" s="36">
        <v>0.33110000000000001</v>
      </c>
      <c r="K123" s="12"/>
      <c r="L123" s="12"/>
      <c r="M123" s="12"/>
      <c r="N123" s="12">
        <f>AVERAGE(J123:M123)</f>
        <v>0.33110000000000001</v>
      </c>
      <c r="O123" s="71" t="e">
        <f t="shared" si="12"/>
        <v>#DIV/0!</v>
      </c>
      <c r="P123" s="12"/>
    </row>
    <row r="124" spans="1:16" s="10" customFormat="1" ht="15.5" customHeight="1" x14ac:dyDescent="0.35">
      <c r="A124" s="72"/>
      <c r="B124" s="73"/>
      <c r="C124" s="74" t="s">
        <v>109</v>
      </c>
      <c r="D124" s="12"/>
      <c r="E124" s="98"/>
      <c r="F124" s="98"/>
      <c r="G124" s="98"/>
      <c r="H124" s="68"/>
      <c r="I124" s="98" t="e">
        <f>AVERAGE(E124:H124)</f>
        <v>#DIV/0!</v>
      </c>
      <c r="J124" s="12" t="s">
        <v>170</v>
      </c>
      <c r="K124" s="12"/>
      <c r="L124" s="12"/>
      <c r="M124" s="12"/>
      <c r="N124" s="12" t="e">
        <f>AVERAGE(J124:M124)</f>
        <v>#DIV/0!</v>
      </c>
      <c r="O124" s="71" t="e">
        <f t="shared" si="12"/>
        <v>#DIV/0!</v>
      </c>
      <c r="P124" s="12"/>
    </row>
    <row r="125" spans="1:16" s="10" customFormat="1" ht="15.5" customHeight="1" x14ac:dyDescent="0.35">
      <c r="A125" s="72"/>
      <c r="B125" s="73"/>
      <c r="C125" s="75" t="s">
        <v>110</v>
      </c>
      <c r="D125" s="12"/>
      <c r="E125" s="12"/>
      <c r="F125" s="12"/>
      <c r="G125" s="12"/>
      <c r="H125" s="26"/>
      <c r="I125" s="52" t="e">
        <f>AVERAGE(E125:H125)</f>
        <v>#DIV/0!</v>
      </c>
      <c r="J125" s="12" t="s">
        <v>170</v>
      </c>
      <c r="K125" s="12"/>
      <c r="L125" s="12"/>
      <c r="M125" s="12"/>
      <c r="N125" s="12" t="e">
        <f t="shared" ref="N125:N128" si="19">AVERAGE(J125:M125)</f>
        <v>#DIV/0!</v>
      </c>
      <c r="O125" s="71" t="e">
        <f t="shared" si="12"/>
        <v>#DIV/0!</v>
      </c>
      <c r="P125" s="12"/>
    </row>
    <row r="126" spans="1:16" s="10" customFormat="1" ht="15.5" customHeight="1" x14ac:dyDescent="0.35">
      <c r="A126" s="72"/>
      <c r="B126" s="73"/>
      <c r="C126" s="75" t="s">
        <v>56</v>
      </c>
      <c r="D126" s="12"/>
      <c r="E126" s="12"/>
      <c r="F126" s="12"/>
      <c r="G126" s="12"/>
      <c r="H126" s="26"/>
      <c r="I126" s="52" t="e">
        <f t="shared" ref="I126:I128" si="20">AVERAGE(E126:H126)</f>
        <v>#DIV/0!</v>
      </c>
      <c r="J126" s="12" t="s">
        <v>170</v>
      </c>
      <c r="K126" s="12"/>
      <c r="L126" s="12"/>
      <c r="M126" s="12"/>
      <c r="N126" s="12" t="e">
        <f t="shared" si="19"/>
        <v>#DIV/0!</v>
      </c>
      <c r="O126" s="71" t="e">
        <f t="shared" si="12"/>
        <v>#DIV/0!</v>
      </c>
      <c r="P126" s="12"/>
    </row>
    <row r="127" spans="1:16" s="10" customFormat="1" ht="15.5" customHeight="1" x14ac:dyDescent="0.35">
      <c r="A127" s="72"/>
      <c r="B127" s="73"/>
      <c r="C127" s="75" t="s">
        <v>57</v>
      </c>
      <c r="D127" s="12"/>
      <c r="E127" s="12"/>
      <c r="F127" s="12"/>
      <c r="G127" s="12"/>
      <c r="H127" s="26"/>
      <c r="I127" s="52" t="e">
        <f t="shared" si="20"/>
        <v>#DIV/0!</v>
      </c>
      <c r="J127" s="12" t="s">
        <v>170</v>
      </c>
      <c r="K127" s="12"/>
      <c r="L127" s="12"/>
      <c r="M127" s="12"/>
      <c r="N127" s="12" t="e">
        <f t="shared" si="19"/>
        <v>#DIV/0!</v>
      </c>
      <c r="O127" s="71" t="e">
        <f t="shared" si="12"/>
        <v>#DIV/0!</v>
      </c>
      <c r="P127" s="12"/>
    </row>
    <row r="128" spans="1:16" s="10" customFormat="1" ht="15.5" customHeight="1" x14ac:dyDescent="0.35">
      <c r="A128" s="72"/>
      <c r="B128" s="73"/>
      <c r="C128" s="75" t="s">
        <v>58</v>
      </c>
      <c r="D128" s="12"/>
      <c r="E128" s="12"/>
      <c r="F128" s="12"/>
      <c r="G128" s="12"/>
      <c r="H128" s="26"/>
      <c r="I128" s="52" t="e">
        <f t="shared" si="20"/>
        <v>#DIV/0!</v>
      </c>
      <c r="J128" s="12" t="s">
        <v>170</v>
      </c>
      <c r="K128" s="12"/>
      <c r="L128" s="12"/>
      <c r="M128" s="12"/>
      <c r="N128" s="12" t="e">
        <f t="shared" si="19"/>
        <v>#DIV/0!</v>
      </c>
      <c r="O128" s="71" t="e">
        <f t="shared" si="12"/>
        <v>#DIV/0!</v>
      </c>
      <c r="P128" s="12"/>
    </row>
    <row r="129" spans="1:16" s="10" customFormat="1" ht="15.5" customHeight="1" x14ac:dyDescent="0.35">
      <c r="A129" s="72"/>
      <c r="B129" s="73"/>
      <c r="C129" s="74"/>
      <c r="D129" s="12"/>
      <c r="E129" s="12"/>
      <c r="F129" s="12"/>
      <c r="G129" s="12"/>
      <c r="H129" s="26"/>
      <c r="I129" s="52"/>
      <c r="J129" s="12"/>
      <c r="K129" s="12"/>
      <c r="L129" s="12"/>
      <c r="M129" s="12"/>
      <c r="N129" s="12"/>
      <c r="O129" s="71"/>
      <c r="P129" s="12"/>
    </row>
    <row r="130" spans="1:16" x14ac:dyDescent="0.3">
      <c r="A130" s="224" t="s">
        <v>59</v>
      </c>
      <c r="B130" s="225"/>
      <c r="C130" s="226"/>
      <c r="D130" s="87"/>
      <c r="E130" s="82"/>
      <c r="F130" s="82"/>
      <c r="G130" s="82"/>
      <c r="H130" s="83"/>
      <c r="I130" s="93"/>
      <c r="J130" s="87"/>
      <c r="K130" s="87"/>
      <c r="L130" s="87"/>
      <c r="M130" s="87"/>
      <c r="N130" s="87"/>
      <c r="O130" s="103"/>
      <c r="P130" s="87"/>
    </row>
    <row r="131" spans="1:16" ht="31.25" customHeight="1" x14ac:dyDescent="0.3">
      <c r="A131" s="227" t="s">
        <v>97</v>
      </c>
      <c r="B131" s="228"/>
      <c r="C131" s="229"/>
      <c r="D131" s="16"/>
      <c r="E131" s="12"/>
      <c r="F131" s="12"/>
      <c r="G131" s="12"/>
      <c r="H131" s="26"/>
      <c r="I131" s="12"/>
      <c r="J131" s="16">
        <f>J132+0</f>
        <v>251</v>
      </c>
      <c r="K131" s="16"/>
      <c r="L131" s="16"/>
      <c r="M131" s="16"/>
      <c r="N131" s="12"/>
      <c r="O131" s="12"/>
      <c r="P131" s="16"/>
    </row>
    <row r="132" spans="1:16" ht="14.5" customHeight="1" x14ac:dyDescent="0.3">
      <c r="A132" s="227" t="s">
        <v>113</v>
      </c>
      <c r="B132" s="228"/>
      <c r="C132" s="229"/>
      <c r="D132" s="16"/>
      <c r="E132" s="12"/>
      <c r="F132" s="12"/>
      <c r="G132" s="12"/>
      <c r="H132" s="26"/>
      <c r="I132" s="12">
        <f>SUM(E132:H132)</f>
        <v>0</v>
      </c>
      <c r="J132" s="16">
        <v>251</v>
      </c>
      <c r="K132" s="16"/>
      <c r="L132" s="16"/>
      <c r="M132" s="16"/>
      <c r="N132" s="12">
        <f>SUM(J132:M132)</f>
        <v>251</v>
      </c>
      <c r="O132" s="12">
        <f t="shared" ref="O132:O134" si="21">N132-I132</f>
        <v>251</v>
      </c>
      <c r="P132" s="16"/>
    </row>
    <row r="133" spans="1:16" ht="14.5" customHeight="1" x14ac:dyDescent="0.3">
      <c r="A133" s="227" t="s">
        <v>114</v>
      </c>
      <c r="B133" s="228"/>
      <c r="C133" s="229"/>
      <c r="D133" s="16"/>
      <c r="E133" s="12"/>
      <c r="F133" s="12"/>
      <c r="G133" s="12"/>
      <c r="H133" s="26"/>
      <c r="I133" s="12">
        <f>SUM(E133:H133)</f>
        <v>0</v>
      </c>
      <c r="J133" s="16" t="s">
        <v>170</v>
      </c>
      <c r="K133" s="16"/>
      <c r="L133" s="16"/>
      <c r="M133" s="16"/>
      <c r="N133" s="12">
        <f>SUM(J133:M133)</f>
        <v>0</v>
      </c>
      <c r="O133" s="12">
        <f t="shared" si="21"/>
        <v>0</v>
      </c>
      <c r="P133" s="16"/>
    </row>
    <row r="134" spans="1:16" ht="14.5" customHeight="1" x14ac:dyDescent="0.3">
      <c r="A134" s="227" t="s">
        <v>115</v>
      </c>
      <c r="B134" s="228"/>
      <c r="C134" s="229"/>
      <c r="D134" s="16"/>
      <c r="E134" s="12"/>
      <c r="F134" s="12"/>
      <c r="G134" s="12"/>
      <c r="H134" s="26"/>
      <c r="I134" s="12">
        <f>SUM(E134:H134)</f>
        <v>0</v>
      </c>
      <c r="J134" s="16" t="s">
        <v>170</v>
      </c>
      <c r="K134" s="16"/>
      <c r="L134" s="16"/>
      <c r="M134" s="16"/>
      <c r="N134" s="12">
        <f>SUM(J134:M134)</f>
        <v>0</v>
      </c>
      <c r="O134" s="12">
        <f t="shared" si="21"/>
        <v>0</v>
      </c>
      <c r="P134" s="16"/>
    </row>
    <row r="135" spans="1:16" ht="14.5" customHeight="1" x14ac:dyDescent="0.3">
      <c r="A135" s="240"/>
      <c r="B135" s="241"/>
      <c r="C135" s="242"/>
      <c r="D135" s="110"/>
      <c r="E135" s="111"/>
      <c r="F135" s="111"/>
      <c r="G135" s="111"/>
      <c r="H135" s="112"/>
      <c r="I135" s="111"/>
      <c r="J135" s="110"/>
      <c r="K135" s="110"/>
      <c r="L135" s="110"/>
      <c r="M135" s="110"/>
      <c r="N135" s="111"/>
      <c r="O135" s="111"/>
      <c r="P135" s="110"/>
    </row>
    <row r="136" spans="1:16" x14ac:dyDescent="0.3">
      <c r="A136" s="215"/>
      <c r="B136" s="215"/>
      <c r="C136" s="215"/>
    </row>
    <row r="137" spans="1:16" x14ac:dyDescent="0.3">
      <c r="A137" s="268" t="s">
        <v>34</v>
      </c>
      <c r="B137" s="268"/>
      <c r="C137" s="268"/>
      <c r="H137" s="268" t="s">
        <v>35</v>
      </c>
      <c r="I137" s="268"/>
      <c r="J137" s="268"/>
      <c r="M137" s="268" t="s">
        <v>14</v>
      </c>
      <c r="N137" s="268"/>
      <c r="O137" s="268"/>
    </row>
    <row r="138" spans="1:16" x14ac:dyDescent="0.3">
      <c r="A138" s="215"/>
      <c r="B138" s="215"/>
      <c r="C138" s="215"/>
      <c r="H138" s="215"/>
      <c r="I138" s="215"/>
      <c r="J138" s="215"/>
      <c r="M138" s="215"/>
      <c r="N138" s="215"/>
      <c r="O138" s="215"/>
    </row>
    <row r="139" spans="1:16" x14ac:dyDescent="0.3">
      <c r="A139" s="307"/>
      <c r="B139" s="307"/>
      <c r="C139" s="307"/>
      <c r="H139" s="307"/>
      <c r="I139" s="307"/>
      <c r="J139" s="307"/>
      <c r="M139" s="307"/>
      <c r="N139" s="307"/>
      <c r="O139" s="307"/>
    </row>
    <row r="140" spans="1:16" x14ac:dyDescent="0.3">
      <c r="A140" s="209"/>
      <c r="B140" s="209"/>
      <c r="C140" s="209"/>
      <c r="H140" s="209"/>
      <c r="I140" s="209"/>
      <c r="J140" s="209"/>
      <c r="M140" s="1" t="s">
        <v>33</v>
      </c>
      <c r="N140" s="1"/>
      <c r="O140" s="1"/>
      <c r="P140" s="3"/>
    </row>
    <row r="141" spans="1:16" x14ac:dyDescent="0.3">
      <c r="A141" s="267" t="s">
        <v>13</v>
      </c>
      <c r="B141" s="267"/>
      <c r="C141" s="267"/>
      <c r="H141" s="30" t="s">
        <v>13</v>
      </c>
      <c r="M141" s="267" t="s">
        <v>13</v>
      </c>
      <c r="N141" s="267"/>
      <c r="O141" s="267"/>
      <c r="P141" s="267"/>
    </row>
  </sheetData>
  <mergeCells count="117">
    <mergeCell ref="O1:P1"/>
    <mergeCell ref="O2:P2"/>
    <mergeCell ref="E4:J4"/>
    <mergeCell ref="E5:J5"/>
    <mergeCell ref="C8:D8"/>
    <mergeCell ref="C9:D9"/>
    <mergeCell ref="O13:O14"/>
    <mergeCell ref="P13:P14"/>
    <mergeCell ref="A15:C15"/>
    <mergeCell ref="A16:C16"/>
    <mergeCell ref="A17:C17"/>
    <mergeCell ref="A18:C18"/>
    <mergeCell ref="C10:D10"/>
    <mergeCell ref="C11:D11"/>
    <mergeCell ref="A13:C14"/>
    <mergeCell ref="D13:D14"/>
    <mergeCell ref="E13:I13"/>
    <mergeCell ref="J13:N13"/>
    <mergeCell ref="A28:C28"/>
    <mergeCell ref="A29:C29"/>
    <mergeCell ref="A30:C30"/>
    <mergeCell ref="A31:C31"/>
    <mergeCell ref="A32:C32"/>
    <mergeCell ref="A36:C36"/>
    <mergeCell ref="A19:C19"/>
    <mergeCell ref="A21:C21"/>
    <mergeCell ref="A23:C23"/>
    <mergeCell ref="A24:C24"/>
    <mergeCell ref="A25:C25"/>
    <mergeCell ref="A27:C27"/>
    <mergeCell ref="A50:C50"/>
    <mergeCell ref="A52:C52"/>
    <mergeCell ref="A55:C55"/>
    <mergeCell ref="A56:C56"/>
    <mergeCell ref="A58:C58"/>
    <mergeCell ref="A60:C60"/>
    <mergeCell ref="A38:C38"/>
    <mergeCell ref="A41:C41"/>
    <mergeCell ref="A42:C42"/>
    <mergeCell ref="A44:C44"/>
    <mergeCell ref="A46:C46"/>
    <mergeCell ref="A48:C48"/>
    <mergeCell ref="A69:C69"/>
    <mergeCell ref="A70:C70"/>
    <mergeCell ref="A71:C71"/>
    <mergeCell ref="A72:C72"/>
    <mergeCell ref="A73:C73"/>
    <mergeCell ref="A74:C74"/>
    <mergeCell ref="A62:C62"/>
    <mergeCell ref="A63:C63"/>
    <mergeCell ref="A64:C64"/>
    <mergeCell ref="A65:C65"/>
    <mergeCell ref="A66:C66"/>
    <mergeCell ref="A67:C67"/>
    <mergeCell ref="A83:C83"/>
    <mergeCell ref="A85:C85"/>
    <mergeCell ref="A87:C87"/>
    <mergeCell ref="A88:C88"/>
    <mergeCell ref="A89:C89"/>
    <mergeCell ref="A90:C90"/>
    <mergeCell ref="A75:C75"/>
    <mergeCell ref="A76:C76"/>
    <mergeCell ref="A77:C77"/>
    <mergeCell ref="A78:C78"/>
    <mergeCell ref="A79:C79"/>
    <mergeCell ref="A81:C81"/>
    <mergeCell ref="A97:C97"/>
    <mergeCell ref="A98:C98"/>
    <mergeCell ref="A99:C99"/>
    <mergeCell ref="A100:C100"/>
    <mergeCell ref="A101:C101"/>
    <mergeCell ref="A102:C102"/>
    <mergeCell ref="A91:C91"/>
    <mergeCell ref="A92:C92"/>
    <mergeCell ref="A93:C93"/>
    <mergeCell ref="A94:C94"/>
    <mergeCell ref="A95:C95"/>
    <mergeCell ref="A96:C96"/>
    <mergeCell ref="A109:C109"/>
    <mergeCell ref="A111:C111"/>
    <mergeCell ref="A112:C112"/>
    <mergeCell ref="A113:C113"/>
    <mergeCell ref="A114:C114"/>
    <mergeCell ref="A116:C116"/>
    <mergeCell ref="A103:C103"/>
    <mergeCell ref="A104:C104"/>
    <mergeCell ref="A105:C105"/>
    <mergeCell ref="A106:C106"/>
    <mergeCell ref="A107:C107"/>
    <mergeCell ref="A108:C108"/>
    <mergeCell ref="A123:C123"/>
    <mergeCell ref="A130:C130"/>
    <mergeCell ref="A131:C131"/>
    <mergeCell ref="A132:C132"/>
    <mergeCell ref="A133:C133"/>
    <mergeCell ref="A134:C134"/>
    <mergeCell ref="A117:C117"/>
    <mergeCell ref="A118:C118"/>
    <mergeCell ref="A119:C119"/>
    <mergeCell ref="A120:C120"/>
    <mergeCell ref="A121:C121"/>
    <mergeCell ref="A122:C122"/>
    <mergeCell ref="A139:C139"/>
    <mergeCell ref="H139:J139"/>
    <mergeCell ref="M139:O139"/>
    <mergeCell ref="A140:C140"/>
    <mergeCell ref="H140:J140"/>
    <mergeCell ref="A141:C141"/>
    <mergeCell ref="M141:P141"/>
    <mergeCell ref="A135:C135"/>
    <mergeCell ref="A136:C136"/>
    <mergeCell ref="A137:C137"/>
    <mergeCell ref="H137:J137"/>
    <mergeCell ref="M137:O137"/>
    <mergeCell ref="A138:C138"/>
    <mergeCell ref="H138:J138"/>
    <mergeCell ref="M138:O138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E664-FE6E-4489-9D96-94013F9028C7}">
  <dimension ref="A1:P141"/>
  <sheetViews>
    <sheetView topLeftCell="D56" zoomScale="92" zoomScaleNormal="90" workbookViewId="0">
      <selection activeCell="P65" sqref="P65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119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ht="13.5" thickBot="1" x14ac:dyDescent="0.35">
      <c r="A15" s="272">
        <v>1</v>
      </c>
      <c r="B15" s="272"/>
      <c r="C15" s="272"/>
      <c r="D15" s="6">
        <v>2</v>
      </c>
      <c r="E15" s="6">
        <v>3</v>
      </c>
      <c r="F15" s="6">
        <v>4</v>
      </c>
      <c r="G15" s="6">
        <v>5</v>
      </c>
      <c r="H15" s="7">
        <v>6</v>
      </c>
      <c r="I15" s="6" t="s">
        <v>21</v>
      </c>
      <c r="J15" s="6">
        <v>8</v>
      </c>
      <c r="K15" s="6">
        <v>9</v>
      </c>
      <c r="L15" s="6">
        <v>10</v>
      </c>
      <c r="M15" s="6">
        <v>11</v>
      </c>
      <c r="N15" s="6" t="s">
        <v>22</v>
      </c>
      <c r="O15" s="6">
        <v>13</v>
      </c>
      <c r="P15" s="6">
        <v>14</v>
      </c>
    </row>
    <row r="16" spans="1:16" ht="40.25" customHeight="1" x14ac:dyDescent="0.3">
      <c r="A16" s="285" t="s">
        <v>36</v>
      </c>
      <c r="B16" s="286"/>
      <c r="C16" s="287"/>
      <c r="D16" s="8"/>
      <c r="E16" s="33"/>
      <c r="F16" s="33"/>
      <c r="G16" s="33"/>
      <c r="H16" s="28"/>
      <c r="I16" s="50"/>
      <c r="J16" s="8"/>
      <c r="K16" s="8"/>
      <c r="L16" s="8"/>
      <c r="M16" s="8"/>
      <c r="N16" s="8"/>
      <c r="O16" s="8"/>
      <c r="P16" s="8"/>
    </row>
    <row r="17" spans="1:16" ht="13.25" customHeight="1" x14ac:dyDescent="0.3">
      <c r="A17" s="275" t="s">
        <v>37</v>
      </c>
      <c r="B17" s="276"/>
      <c r="C17" s="277"/>
      <c r="D17" s="20">
        <v>310100000000000</v>
      </c>
      <c r="E17" s="34"/>
      <c r="F17" s="34"/>
      <c r="G17" s="34"/>
      <c r="H17" s="29"/>
      <c r="I17" s="51"/>
      <c r="J17" s="9"/>
      <c r="K17" s="9"/>
      <c r="L17" s="9"/>
      <c r="M17" s="9"/>
      <c r="N17" s="9"/>
      <c r="O17" s="9"/>
      <c r="P17" s="9"/>
    </row>
    <row r="18" spans="1:16" x14ac:dyDescent="0.3">
      <c r="A18" s="314" t="s">
        <v>38</v>
      </c>
      <c r="B18" s="315"/>
      <c r="C18" s="316"/>
      <c r="D18" s="11"/>
      <c r="E18" s="82"/>
      <c r="F18" s="82"/>
      <c r="G18" s="82"/>
      <c r="H18" s="83"/>
      <c r="I18" s="93"/>
      <c r="J18" s="87"/>
      <c r="K18" s="87"/>
      <c r="L18" s="87"/>
      <c r="M18" s="87"/>
      <c r="N18" s="87"/>
      <c r="O18" s="87"/>
      <c r="P18" s="87"/>
    </row>
    <row r="19" spans="1:16" s="25" customFormat="1" ht="30" customHeight="1" x14ac:dyDescent="0.35">
      <c r="A19" s="252" t="s">
        <v>43</v>
      </c>
      <c r="B19" s="253"/>
      <c r="C19" s="254"/>
      <c r="D19" s="24"/>
      <c r="E19" s="76"/>
      <c r="F19" s="76"/>
      <c r="G19" s="76"/>
      <c r="H19" s="77"/>
      <c r="I19" s="78" t="e">
        <f>AVERAGE(E19:H19)</f>
        <v>#DIV/0!</v>
      </c>
      <c r="J19" s="97"/>
      <c r="K19" s="97"/>
      <c r="L19" s="97"/>
      <c r="M19" s="97"/>
      <c r="N19" s="98" t="e">
        <f>AVERAGE(J19:M19)</f>
        <v>#DIV/0!</v>
      </c>
      <c r="O19" s="71" t="e">
        <f>N19-I19</f>
        <v>#DIV/0!</v>
      </c>
      <c r="P19" s="24"/>
    </row>
    <row r="20" spans="1:16" s="25" customFormat="1" ht="19.75" customHeight="1" x14ac:dyDescent="0.35">
      <c r="A20" s="21"/>
      <c r="B20" s="22"/>
      <c r="C20" s="23"/>
      <c r="D20" s="24"/>
      <c r="E20" s="12"/>
      <c r="F20" s="12"/>
      <c r="G20" s="12"/>
      <c r="H20" s="54"/>
      <c r="I20" s="53"/>
      <c r="J20" s="24"/>
      <c r="K20" s="24"/>
      <c r="L20" s="24"/>
      <c r="M20" s="24"/>
      <c r="N20" s="24"/>
      <c r="O20" s="71"/>
      <c r="P20" s="24"/>
    </row>
    <row r="21" spans="1:16" s="25" customFormat="1" ht="14" customHeight="1" x14ac:dyDescent="0.35">
      <c r="A21" s="252" t="s">
        <v>44</v>
      </c>
      <c r="B21" s="253"/>
      <c r="C21" s="254"/>
      <c r="D21" s="24"/>
      <c r="E21" s="76"/>
      <c r="F21" s="76"/>
      <c r="G21" s="76"/>
      <c r="H21" s="77"/>
      <c r="I21" s="79" t="e">
        <f>AVERAGE(E21:H21)</f>
        <v>#DIV/0!</v>
      </c>
      <c r="J21" s="24"/>
      <c r="K21" s="24"/>
      <c r="L21" s="24"/>
      <c r="M21" s="24"/>
      <c r="N21" s="12" t="e">
        <f>AVERAGE(J21:M21)</f>
        <v>#DIV/0!</v>
      </c>
      <c r="O21" s="71" t="e">
        <f t="shared" ref="O21:O84" si="0">N21-I21</f>
        <v>#DIV/0!</v>
      </c>
      <c r="P21" s="24"/>
    </row>
    <row r="22" spans="1:16" s="25" customFormat="1" ht="14" customHeight="1" x14ac:dyDescent="0.35">
      <c r="A22" s="21"/>
      <c r="B22" s="22"/>
      <c r="C22" s="23"/>
      <c r="D22" s="24"/>
      <c r="E22" s="12"/>
      <c r="F22" s="12"/>
      <c r="G22" s="12"/>
      <c r="H22" s="31"/>
      <c r="I22" s="52"/>
      <c r="J22" s="24"/>
      <c r="K22" s="24"/>
      <c r="L22" s="24"/>
      <c r="M22" s="24"/>
      <c r="N22" s="24"/>
      <c r="O22" s="71"/>
      <c r="P22" s="24"/>
    </row>
    <row r="23" spans="1:16" x14ac:dyDescent="0.3">
      <c r="A23" s="288" t="s">
        <v>39</v>
      </c>
      <c r="B23" s="289"/>
      <c r="C23" s="290"/>
      <c r="D23" s="11"/>
      <c r="E23" s="82"/>
      <c r="F23" s="82"/>
      <c r="G23" s="82"/>
      <c r="H23" s="83"/>
      <c r="I23" s="93"/>
      <c r="J23" s="87"/>
      <c r="K23" s="87"/>
      <c r="L23" s="87"/>
      <c r="M23" s="87"/>
      <c r="N23" s="87"/>
      <c r="O23" s="103"/>
      <c r="P23" s="87"/>
    </row>
    <row r="24" spans="1:16" x14ac:dyDescent="0.3">
      <c r="A24" s="291" t="s">
        <v>55</v>
      </c>
      <c r="B24" s="292"/>
      <c r="C24" s="293"/>
      <c r="D24" s="11"/>
      <c r="E24" s="76"/>
      <c r="F24" s="76"/>
      <c r="G24" s="76"/>
      <c r="H24" s="80"/>
      <c r="I24" s="81">
        <f>SUM(E24:H24)</f>
        <v>0</v>
      </c>
      <c r="J24" s="11"/>
      <c r="K24" s="11"/>
      <c r="L24" s="11"/>
      <c r="M24" s="11"/>
      <c r="N24" s="12">
        <f>SUM(J24:M24)</f>
        <v>0</v>
      </c>
      <c r="O24" s="12">
        <f t="shared" si="0"/>
        <v>0</v>
      </c>
      <c r="P24" s="11"/>
    </row>
    <row r="25" spans="1:16" x14ac:dyDescent="0.3">
      <c r="A25" s="291" t="s">
        <v>53</v>
      </c>
      <c r="B25" s="292"/>
      <c r="C25" s="293"/>
      <c r="D25" s="11"/>
      <c r="E25" s="12"/>
      <c r="F25" s="12"/>
      <c r="G25" s="12"/>
      <c r="H25" s="26"/>
      <c r="I25" s="55">
        <f>SUM(E25:H25)</f>
        <v>0</v>
      </c>
      <c r="J25" s="11"/>
      <c r="K25" s="11"/>
      <c r="L25" s="11"/>
      <c r="M25" s="11"/>
      <c r="N25" s="12">
        <f t="shared" ref="N25:N26" si="1">SUM(J25:M25)</f>
        <v>0</v>
      </c>
      <c r="O25" s="12">
        <f t="shared" si="0"/>
        <v>0</v>
      </c>
      <c r="P25" s="11"/>
    </row>
    <row r="26" spans="1:16" x14ac:dyDescent="0.3">
      <c r="A26" s="17"/>
      <c r="B26" s="18"/>
      <c r="C26" s="35" t="s">
        <v>45</v>
      </c>
      <c r="D26" s="11"/>
      <c r="E26" s="12"/>
      <c r="F26" s="12"/>
      <c r="G26" s="12"/>
      <c r="H26" s="26"/>
      <c r="I26" s="55">
        <f>SUM(E26:H26)</f>
        <v>0</v>
      </c>
      <c r="J26" s="11"/>
      <c r="K26" s="11"/>
      <c r="L26" s="11"/>
      <c r="M26" s="11"/>
      <c r="N26" s="12">
        <f t="shared" si="1"/>
        <v>0</v>
      </c>
      <c r="O26" s="12">
        <f t="shared" si="0"/>
        <v>0</v>
      </c>
      <c r="P26" s="11"/>
    </row>
    <row r="27" spans="1:16" x14ac:dyDescent="0.3">
      <c r="A27" s="291" t="s">
        <v>54</v>
      </c>
      <c r="B27" s="292"/>
      <c r="C27" s="293"/>
      <c r="D27" s="11"/>
      <c r="E27" s="76"/>
      <c r="F27" s="76"/>
      <c r="G27" s="76"/>
      <c r="H27" s="80"/>
      <c r="I27" s="81">
        <f>SUM(E27:H27)</f>
        <v>0</v>
      </c>
      <c r="J27" s="11"/>
      <c r="K27" s="11"/>
      <c r="L27" s="11"/>
      <c r="M27" s="11"/>
      <c r="N27" s="12">
        <f>SUM(J27:M27)</f>
        <v>0</v>
      </c>
      <c r="O27" s="12">
        <f t="shared" si="0"/>
        <v>0</v>
      </c>
      <c r="P27" s="11"/>
    </row>
    <row r="28" spans="1:16" x14ac:dyDescent="0.3">
      <c r="A28" s="214"/>
      <c r="B28" s="215"/>
      <c r="C28" s="216"/>
      <c r="D28" s="11"/>
      <c r="E28" s="12"/>
      <c r="F28" s="12"/>
      <c r="G28" s="12"/>
      <c r="H28" s="26"/>
      <c r="I28" s="13"/>
      <c r="J28" s="11"/>
      <c r="K28" s="11"/>
      <c r="L28" s="11"/>
      <c r="M28" s="11"/>
      <c r="N28" s="11"/>
      <c r="O28" s="104"/>
      <c r="P28" s="11"/>
    </row>
    <row r="29" spans="1:16" x14ac:dyDescent="0.3">
      <c r="A29" s="208" t="s">
        <v>47</v>
      </c>
      <c r="B29" s="209"/>
      <c r="C29" s="210"/>
      <c r="D29" s="20">
        <v>310200000000000</v>
      </c>
      <c r="E29" s="34"/>
      <c r="F29" s="34"/>
      <c r="G29" s="34"/>
      <c r="H29" s="29"/>
      <c r="I29" s="51"/>
      <c r="J29" s="9"/>
      <c r="K29" s="9"/>
      <c r="L29" s="9"/>
      <c r="M29" s="9"/>
      <c r="N29" s="9"/>
      <c r="O29" s="71"/>
      <c r="P29" s="9"/>
    </row>
    <row r="30" spans="1:16" x14ac:dyDescent="0.3">
      <c r="A30" s="224" t="s">
        <v>48</v>
      </c>
      <c r="B30" s="225"/>
      <c r="C30" s="226"/>
      <c r="D30" s="11"/>
      <c r="E30" s="82"/>
      <c r="F30" s="82"/>
      <c r="G30" s="82"/>
      <c r="H30" s="83"/>
      <c r="I30" s="93"/>
      <c r="J30" s="87"/>
      <c r="K30" s="87"/>
      <c r="L30" s="87"/>
      <c r="M30" s="87"/>
      <c r="N30" s="87"/>
      <c r="O30" s="103"/>
      <c r="P30" s="87"/>
    </row>
    <row r="31" spans="1:16" s="10" customFormat="1" ht="31.75" customHeight="1" x14ac:dyDescent="0.3">
      <c r="A31" s="252" t="s">
        <v>49</v>
      </c>
      <c r="B31" s="253"/>
      <c r="C31" s="254"/>
      <c r="D31" s="16"/>
      <c r="E31" s="82"/>
      <c r="F31" s="82"/>
      <c r="G31" s="82"/>
      <c r="H31" s="83"/>
      <c r="I31" s="86"/>
      <c r="J31" s="86"/>
      <c r="K31" s="86"/>
      <c r="L31" s="86"/>
      <c r="M31" s="86"/>
      <c r="N31" s="86"/>
      <c r="O31" s="103"/>
      <c r="P31" s="86"/>
    </row>
    <row r="32" spans="1:16" ht="15.5" customHeight="1" x14ac:dyDescent="0.3">
      <c r="A32" s="211" t="s">
        <v>25</v>
      </c>
      <c r="B32" s="212"/>
      <c r="C32" s="213"/>
      <c r="D32" s="11"/>
      <c r="E32" s="82"/>
      <c r="F32" s="36"/>
      <c r="G32" s="82"/>
      <c r="H32" s="83"/>
      <c r="I32" s="92">
        <f>F32</f>
        <v>0</v>
      </c>
      <c r="J32" s="82"/>
      <c r="K32" s="36"/>
      <c r="L32" s="82"/>
      <c r="M32" s="83"/>
      <c r="N32" s="92">
        <f>K32</f>
        <v>0</v>
      </c>
      <c r="O32" s="71">
        <f t="shared" si="0"/>
        <v>0</v>
      </c>
      <c r="P32" s="11"/>
    </row>
    <row r="33" spans="1:16" ht="15.5" customHeight="1" x14ac:dyDescent="0.3">
      <c r="A33" s="14"/>
      <c r="B33" s="3"/>
      <c r="C33" s="15" t="s">
        <v>108</v>
      </c>
      <c r="D33" s="11"/>
      <c r="E33" s="82"/>
      <c r="F33" s="12"/>
      <c r="G33" s="82"/>
      <c r="H33" s="83"/>
      <c r="I33" s="13">
        <f t="shared" ref="I33:I39" si="2">F33</f>
        <v>0</v>
      </c>
      <c r="J33" s="82"/>
      <c r="K33" s="12"/>
      <c r="L33" s="82"/>
      <c r="M33" s="83"/>
      <c r="N33" s="13">
        <f t="shared" ref="N33:N39" si="3">K33</f>
        <v>0</v>
      </c>
      <c r="O33" s="12">
        <f t="shared" si="0"/>
        <v>0</v>
      </c>
      <c r="P33" s="11"/>
    </row>
    <row r="34" spans="1:16" ht="15.5" customHeight="1" x14ac:dyDescent="0.3">
      <c r="A34" s="14"/>
      <c r="B34" s="3"/>
      <c r="C34" s="70" t="s">
        <v>107</v>
      </c>
      <c r="D34" s="11"/>
      <c r="E34" s="82"/>
      <c r="F34" s="36"/>
      <c r="G34" s="82"/>
      <c r="H34" s="83"/>
      <c r="I34" s="92">
        <f t="shared" si="2"/>
        <v>0</v>
      </c>
      <c r="J34" s="82"/>
      <c r="K34" s="36"/>
      <c r="L34" s="82"/>
      <c r="M34" s="83"/>
      <c r="N34" s="92">
        <f t="shared" si="3"/>
        <v>0</v>
      </c>
      <c r="O34" s="71">
        <f t="shared" si="0"/>
        <v>0</v>
      </c>
      <c r="P34" s="11"/>
    </row>
    <row r="35" spans="1:16" ht="15.5" customHeight="1" x14ac:dyDescent="0.3">
      <c r="A35" s="14"/>
      <c r="B35" s="3"/>
      <c r="C35" s="15" t="s">
        <v>108</v>
      </c>
      <c r="D35" s="11"/>
      <c r="E35" s="82"/>
      <c r="F35" s="12"/>
      <c r="G35" s="82"/>
      <c r="H35" s="83"/>
      <c r="I35" s="13">
        <f t="shared" si="2"/>
        <v>0</v>
      </c>
      <c r="J35" s="82"/>
      <c r="K35" s="36"/>
      <c r="L35" s="82"/>
      <c r="M35" s="83"/>
      <c r="N35" s="13">
        <f t="shared" si="3"/>
        <v>0</v>
      </c>
      <c r="O35" s="12">
        <f t="shared" si="0"/>
        <v>0</v>
      </c>
      <c r="P35" s="11"/>
    </row>
    <row r="36" spans="1:16" ht="15.5" customHeight="1" x14ac:dyDescent="0.3">
      <c r="A36" s="211" t="s">
        <v>26</v>
      </c>
      <c r="B36" s="212"/>
      <c r="C36" s="213"/>
      <c r="D36" s="11"/>
      <c r="E36" s="82"/>
      <c r="F36" s="36"/>
      <c r="G36" s="82"/>
      <c r="H36" s="83"/>
      <c r="I36" s="92">
        <f t="shared" si="2"/>
        <v>0</v>
      </c>
      <c r="J36" s="82"/>
      <c r="K36" s="36"/>
      <c r="L36" s="82"/>
      <c r="M36" s="83"/>
      <c r="N36" s="92">
        <f t="shared" si="3"/>
        <v>0</v>
      </c>
      <c r="O36" s="71">
        <f t="shared" si="0"/>
        <v>0</v>
      </c>
      <c r="P36" s="11"/>
    </row>
    <row r="37" spans="1:16" ht="15.5" customHeight="1" x14ac:dyDescent="0.3">
      <c r="A37" s="14"/>
      <c r="B37" s="3"/>
      <c r="C37" s="15" t="s">
        <v>108</v>
      </c>
      <c r="D37" s="11"/>
      <c r="E37" s="82"/>
      <c r="F37" s="12"/>
      <c r="G37" s="82"/>
      <c r="H37" s="83"/>
      <c r="I37" s="13">
        <f t="shared" si="2"/>
        <v>0</v>
      </c>
      <c r="J37" s="82"/>
      <c r="K37" s="12"/>
      <c r="L37" s="82"/>
      <c r="M37" s="83"/>
      <c r="N37" s="13">
        <f t="shared" si="3"/>
        <v>0</v>
      </c>
      <c r="O37" s="12">
        <f t="shared" si="0"/>
        <v>0</v>
      </c>
      <c r="P37" s="11"/>
    </row>
    <row r="38" spans="1:16" ht="15.5" customHeight="1" x14ac:dyDescent="0.3">
      <c r="A38" s="211" t="s">
        <v>27</v>
      </c>
      <c r="B38" s="212"/>
      <c r="C38" s="213"/>
      <c r="D38" s="11"/>
      <c r="E38" s="82"/>
      <c r="F38" s="36"/>
      <c r="G38" s="82"/>
      <c r="H38" s="83"/>
      <c r="I38" s="92">
        <f t="shared" si="2"/>
        <v>0</v>
      </c>
      <c r="J38" s="82"/>
      <c r="K38" s="36"/>
      <c r="L38" s="82"/>
      <c r="M38" s="83"/>
      <c r="N38" s="92">
        <f t="shared" si="3"/>
        <v>0</v>
      </c>
      <c r="O38" s="71">
        <f t="shared" si="0"/>
        <v>0</v>
      </c>
      <c r="P38" s="11"/>
    </row>
    <row r="39" spans="1:16" ht="15.5" customHeight="1" x14ac:dyDescent="0.3">
      <c r="A39" s="14"/>
      <c r="B39" s="3"/>
      <c r="C39" s="15" t="s">
        <v>108</v>
      </c>
      <c r="D39" s="11"/>
      <c r="E39" s="82"/>
      <c r="F39" s="12"/>
      <c r="G39" s="82"/>
      <c r="H39" s="83"/>
      <c r="I39" s="13">
        <f t="shared" si="2"/>
        <v>0</v>
      </c>
      <c r="J39" s="82"/>
      <c r="K39" s="12"/>
      <c r="L39" s="82"/>
      <c r="M39" s="83"/>
      <c r="N39" s="13">
        <f t="shared" si="3"/>
        <v>0</v>
      </c>
      <c r="O39" s="12">
        <f t="shared" si="0"/>
        <v>0</v>
      </c>
      <c r="P39" s="11"/>
    </row>
    <row r="40" spans="1:16" ht="15.5" customHeight="1" x14ac:dyDescent="0.3">
      <c r="A40" s="14"/>
      <c r="B40" s="3"/>
      <c r="C40" s="15"/>
      <c r="D40" s="11"/>
      <c r="E40" s="12"/>
      <c r="F40" s="12"/>
      <c r="G40" s="12"/>
      <c r="H40" s="26"/>
      <c r="I40" s="13"/>
      <c r="J40" s="12"/>
      <c r="K40" s="12"/>
      <c r="L40" s="12"/>
      <c r="M40" s="26"/>
      <c r="N40" s="13"/>
      <c r="O40" s="71"/>
      <c r="P40" s="11"/>
    </row>
    <row r="41" spans="1:16" ht="25.25" customHeight="1" x14ac:dyDescent="0.3">
      <c r="A41" s="243" t="s">
        <v>46</v>
      </c>
      <c r="B41" s="244"/>
      <c r="C41" s="245"/>
      <c r="D41" s="16"/>
      <c r="E41" s="82"/>
      <c r="F41" s="82"/>
      <c r="G41" s="82"/>
      <c r="H41" s="83"/>
      <c r="I41" s="86"/>
      <c r="J41" s="82"/>
      <c r="K41" s="82"/>
      <c r="L41" s="82"/>
      <c r="M41" s="83"/>
      <c r="N41" s="86"/>
      <c r="O41" s="103"/>
      <c r="P41" s="86"/>
    </row>
    <row r="42" spans="1:16" ht="15.5" customHeight="1" x14ac:dyDescent="0.3">
      <c r="A42" s="304" t="s">
        <v>102</v>
      </c>
      <c r="B42" s="305"/>
      <c r="C42" s="306"/>
      <c r="D42" s="11"/>
      <c r="E42" s="82"/>
      <c r="F42" s="36"/>
      <c r="G42" s="82"/>
      <c r="H42" s="83"/>
      <c r="I42" s="92">
        <f>F42</f>
        <v>0</v>
      </c>
      <c r="J42" s="82"/>
      <c r="K42" s="94"/>
      <c r="L42" s="82"/>
      <c r="M42" s="83"/>
      <c r="N42" s="96">
        <f>K42</f>
        <v>0</v>
      </c>
      <c r="O42" s="71">
        <f t="shared" si="0"/>
        <v>0</v>
      </c>
      <c r="P42" s="11"/>
    </row>
    <row r="43" spans="1:16" ht="15.5" customHeight="1" x14ac:dyDescent="0.3">
      <c r="A43" s="46"/>
      <c r="B43" s="47"/>
      <c r="C43" s="15" t="s">
        <v>108</v>
      </c>
      <c r="D43" s="11"/>
      <c r="E43" s="82"/>
      <c r="F43" s="12"/>
      <c r="G43" s="82"/>
      <c r="H43" s="83"/>
      <c r="I43" s="13">
        <f t="shared" ref="I43:I53" si="4">F43</f>
        <v>0</v>
      </c>
      <c r="J43" s="82"/>
      <c r="K43" s="95"/>
      <c r="L43" s="82"/>
      <c r="M43" s="83"/>
      <c r="N43" s="13">
        <f t="shared" ref="N43:N53" si="5">K43</f>
        <v>0</v>
      </c>
      <c r="O43" s="12">
        <f t="shared" si="0"/>
        <v>0</v>
      </c>
      <c r="P43" s="11"/>
    </row>
    <row r="44" spans="1:16" ht="15.5" customHeight="1" x14ac:dyDescent="0.3">
      <c r="A44" s="304" t="s">
        <v>103</v>
      </c>
      <c r="B44" s="305"/>
      <c r="C44" s="306"/>
      <c r="D44" s="11"/>
      <c r="E44" s="82"/>
      <c r="F44" s="36"/>
      <c r="G44" s="82"/>
      <c r="H44" s="83"/>
      <c r="I44" s="92">
        <f t="shared" si="4"/>
        <v>0</v>
      </c>
      <c r="J44" s="82"/>
      <c r="K44" s="94"/>
      <c r="L44" s="82"/>
      <c r="M44" s="83"/>
      <c r="N44" s="96">
        <f t="shared" si="5"/>
        <v>0</v>
      </c>
      <c r="O44" s="71">
        <f t="shared" si="0"/>
        <v>0</v>
      </c>
      <c r="P44" s="11"/>
    </row>
    <row r="45" spans="1:16" ht="15.5" customHeight="1" x14ac:dyDescent="0.3">
      <c r="A45" s="46"/>
      <c r="B45" s="47"/>
      <c r="C45" s="15" t="s">
        <v>108</v>
      </c>
      <c r="D45" s="11"/>
      <c r="E45" s="82"/>
      <c r="F45" s="12"/>
      <c r="G45" s="82"/>
      <c r="H45" s="83"/>
      <c r="I45" s="13">
        <f t="shared" si="4"/>
        <v>0</v>
      </c>
      <c r="J45" s="82"/>
      <c r="K45" s="95"/>
      <c r="L45" s="82"/>
      <c r="M45" s="83"/>
      <c r="N45" s="13">
        <f t="shared" si="5"/>
        <v>0</v>
      </c>
      <c r="O45" s="12">
        <f t="shared" si="0"/>
        <v>0</v>
      </c>
      <c r="P45" s="11"/>
    </row>
    <row r="46" spans="1:16" ht="15.5" customHeight="1" x14ac:dyDescent="0.3">
      <c r="A46" s="304" t="s">
        <v>104</v>
      </c>
      <c r="B46" s="305"/>
      <c r="C46" s="306"/>
      <c r="D46" s="11"/>
      <c r="E46" s="82"/>
      <c r="F46" s="94"/>
      <c r="G46" s="82"/>
      <c r="H46" s="83"/>
      <c r="I46" s="92">
        <f t="shared" si="4"/>
        <v>0</v>
      </c>
      <c r="J46" s="82"/>
      <c r="K46" s="94"/>
      <c r="L46" s="82"/>
      <c r="M46" s="83"/>
      <c r="N46" s="96">
        <f t="shared" si="5"/>
        <v>0</v>
      </c>
      <c r="O46" s="71">
        <f t="shared" si="0"/>
        <v>0</v>
      </c>
      <c r="P46" s="11"/>
    </row>
    <row r="47" spans="1:16" ht="15.5" customHeight="1" x14ac:dyDescent="0.3">
      <c r="A47" s="46"/>
      <c r="B47" s="47"/>
      <c r="C47" s="15" t="s">
        <v>108</v>
      </c>
      <c r="D47" s="11"/>
      <c r="E47" s="82"/>
      <c r="F47" s="12"/>
      <c r="G47" s="82"/>
      <c r="H47" s="83"/>
      <c r="I47" s="13">
        <f t="shared" si="4"/>
        <v>0</v>
      </c>
      <c r="J47" s="82"/>
      <c r="K47" s="95"/>
      <c r="L47" s="82"/>
      <c r="M47" s="83"/>
      <c r="N47" s="13">
        <f t="shared" si="5"/>
        <v>0</v>
      </c>
      <c r="O47" s="12">
        <f t="shared" si="0"/>
        <v>0</v>
      </c>
      <c r="P47" s="11"/>
    </row>
    <row r="48" spans="1:16" ht="15.5" customHeight="1" x14ac:dyDescent="0.3">
      <c r="A48" s="304" t="s">
        <v>105</v>
      </c>
      <c r="B48" s="305"/>
      <c r="C48" s="306"/>
      <c r="D48" s="11"/>
      <c r="E48" s="82"/>
      <c r="F48" s="36"/>
      <c r="G48" s="82"/>
      <c r="H48" s="83"/>
      <c r="I48" s="92">
        <f t="shared" si="4"/>
        <v>0</v>
      </c>
      <c r="J48" s="82"/>
      <c r="K48" s="94"/>
      <c r="L48" s="82"/>
      <c r="M48" s="83"/>
      <c r="N48" s="96">
        <f t="shared" si="5"/>
        <v>0</v>
      </c>
      <c r="O48" s="71">
        <f t="shared" si="0"/>
        <v>0</v>
      </c>
      <c r="P48" s="11"/>
    </row>
    <row r="49" spans="1:16" ht="15.5" customHeight="1" x14ac:dyDescent="0.3">
      <c r="A49" s="46"/>
      <c r="B49" s="47"/>
      <c r="C49" s="15" t="s">
        <v>108</v>
      </c>
      <c r="D49" s="11"/>
      <c r="E49" s="82"/>
      <c r="F49" s="12"/>
      <c r="G49" s="82"/>
      <c r="H49" s="83"/>
      <c r="I49" s="13">
        <f t="shared" si="4"/>
        <v>0</v>
      </c>
      <c r="J49" s="82"/>
      <c r="K49" s="95"/>
      <c r="L49" s="82"/>
      <c r="M49" s="83"/>
      <c r="N49" s="13">
        <f t="shared" si="5"/>
        <v>0</v>
      </c>
      <c r="O49" s="12">
        <f t="shared" si="0"/>
        <v>0</v>
      </c>
      <c r="P49" s="11"/>
    </row>
    <row r="50" spans="1:16" ht="15.5" customHeight="1" x14ac:dyDescent="0.3">
      <c r="A50" s="304" t="s">
        <v>106</v>
      </c>
      <c r="B50" s="305"/>
      <c r="C50" s="306"/>
      <c r="D50" s="11"/>
      <c r="E50" s="82"/>
      <c r="F50" s="36"/>
      <c r="G50" s="82"/>
      <c r="H50" s="83"/>
      <c r="I50" s="92">
        <f t="shared" si="4"/>
        <v>0</v>
      </c>
      <c r="J50" s="82"/>
      <c r="K50" s="94"/>
      <c r="L50" s="82"/>
      <c r="M50" s="83"/>
      <c r="N50" s="96">
        <f t="shared" si="5"/>
        <v>0</v>
      </c>
      <c r="O50" s="71">
        <f t="shared" si="0"/>
        <v>0</v>
      </c>
      <c r="P50" s="11"/>
    </row>
    <row r="51" spans="1:16" ht="15.5" customHeight="1" x14ac:dyDescent="0.3">
      <c r="A51" s="46"/>
      <c r="B51" s="47"/>
      <c r="C51" s="15" t="s">
        <v>108</v>
      </c>
      <c r="D51" s="11"/>
      <c r="E51" s="82"/>
      <c r="F51" s="12"/>
      <c r="G51" s="82"/>
      <c r="H51" s="83"/>
      <c r="I51" s="13">
        <f t="shared" si="4"/>
        <v>0</v>
      </c>
      <c r="J51" s="82"/>
      <c r="K51" s="95"/>
      <c r="L51" s="82"/>
      <c r="M51" s="83"/>
      <c r="N51" s="13">
        <f t="shared" si="5"/>
        <v>0</v>
      </c>
      <c r="O51" s="12">
        <f t="shared" si="0"/>
        <v>0</v>
      </c>
      <c r="P51" s="11"/>
    </row>
    <row r="52" spans="1:16" ht="15.5" customHeight="1" x14ac:dyDescent="0.3">
      <c r="A52" s="304" t="s">
        <v>111</v>
      </c>
      <c r="B52" s="305"/>
      <c r="C52" s="306"/>
      <c r="D52" s="11"/>
      <c r="E52" s="82"/>
      <c r="F52" s="94"/>
      <c r="G52" s="82"/>
      <c r="H52" s="83"/>
      <c r="I52" s="92">
        <f t="shared" si="4"/>
        <v>0</v>
      </c>
      <c r="J52" s="82"/>
      <c r="K52" s="94"/>
      <c r="L52" s="82"/>
      <c r="M52" s="83"/>
      <c r="N52" s="96">
        <f t="shared" si="5"/>
        <v>0</v>
      </c>
      <c r="O52" s="71">
        <f t="shared" si="0"/>
        <v>0</v>
      </c>
      <c r="P52" s="11"/>
    </row>
    <row r="53" spans="1:16" ht="15.5" customHeight="1" x14ac:dyDescent="0.3">
      <c r="A53" s="37"/>
      <c r="B53" s="38"/>
      <c r="C53" s="15" t="s">
        <v>108</v>
      </c>
      <c r="D53" s="11"/>
      <c r="E53" s="82"/>
      <c r="F53" s="12"/>
      <c r="G53" s="82"/>
      <c r="H53" s="83"/>
      <c r="I53" s="13">
        <f t="shared" si="4"/>
        <v>0</v>
      </c>
      <c r="J53" s="82"/>
      <c r="K53" s="95"/>
      <c r="L53" s="82"/>
      <c r="M53" s="83"/>
      <c r="N53" s="13">
        <f t="shared" si="5"/>
        <v>0</v>
      </c>
      <c r="O53" s="12">
        <f t="shared" si="0"/>
        <v>0</v>
      </c>
      <c r="P53" s="11"/>
    </row>
    <row r="54" spans="1:16" ht="15.5" customHeight="1" x14ac:dyDescent="0.3">
      <c r="A54" s="37"/>
      <c r="B54" s="38"/>
      <c r="C54" s="39"/>
      <c r="D54" s="11"/>
      <c r="E54" s="12"/>
      <c r="F54" s="12"/>
      <c r="G54" s="12"/>
      <c r="H54" s="26"/>
      <c r="I54" s="13"/>
      <c r="J54" s="12"/>
      <c r="K54" s="12"/>
      <c r="L54" s="12"/>
      <c r="M54" s="26"/>
      <c r="N54" s="13"/>
      <c r="O54" s="71"/>
      <c r="P54" s="11"/>
    </row>
    <row r="55" spans="1:16" ht="25.75" customHeight="1" x14ac:dyDescent="0.3">
      <c r="A55" s="243" t="s">
        <v>52</v>
      </c>
      <c r="B55" s="244"/>
      <c r="C55" s="245"/>
      <c r="D55" s="16"/>
      <c r="E55" s="82"/>
      <c r="F55" s="82"/>
      <c r="G55" s="82"/>
      <c r="H55" s="83"/>
      <c r="I55" s="86"/>
      <c r="J55" s="82"/>
      <c r="K55" s="82"/>
      <c r="L55" s="82"/>
      <c r="M55" s="83"/>
      <c r="N55" s="86"/>
      <c r="O55" s="103"/>
      <c r="P55" s="86"/>
    </row>
    <row r="56" spans="1:16" ht="15.5" customHeight="1" x14ac:dyDescent="0.3">
      <c r="A56" s="246" t="s">
        <v>56</v>
      </c>
      <c r="B56" s="247"/>
      <c r="C56" s="248"/>
      <c r="D56" s="11"/>
      <c r="E56" s="82"/>
      <c r="F56" s="82"/>
      <c r="G56" s="82"/>
      <c r="H56" s="31"/>
      <c r="I56" s="92">
        <f>H56</f>
        <v>0</v>
      </c>
      <c r="J56" s="82"/>
      <c r="K56" s="82"/>
      <c r="L56" s="82"/>
      <c r="M56" s="31"/>
      <c r="N56" s="92">
        <f>M56</f>
        <v>0</v>
      </c>
      <c r="O56" s="71">
        <f t="shared" si="0"/>
        <v>0</v>
      </c>
      <c r="P56" s="11"/>
    </row>
    <row r="57" spans="1:16" ht="15.5" customHeight="1" x14ac:dyDescent="0.3">
      <c r="A57" s="40"/>
      <c r="B57" s="41"/>
      <c r="C57" s="15" t="s">
        <v>108</v>
      </c>
      <c r="D57" s="11"/>
      <c r="E57" s="82"/>
      <c r="F57" s="82"/>
      <c r="G57" s="82"/>
      <c r="H57" s="26"/>
      <c r="I57" s="13">
        <f t="shared" ref="I57:I61" si="6">H57</f>
        <v>0</v>
      </c>
      <c r="J57" s="82"/>
      <c r="K57" s="82"/>
      <c r="L57" s="82"/>
      <c r="M57" s="26"/>
      <c r="N57" s="13">
        <f t="shared" ref="N57:N61" si="7">M57</f>
        <v>0</v>
      </c>
      <c r="O57" s="12">
        <f t="shared" si="0"/>
        <v>0</v>
      </c>
      <c r="P57" s="11"/>
    </row>
    <row r="58" spans="1:16" ht="15.5" customHeight="1" x14ac:dyDescent="0.3">
      <c r="A58" s="246" t="s">
        <v>57</v>
      </c>
      <c r="B58" s="247"/>
      <c r="C58" s="248"/>
      <c r="D58" s="11"/>
      <c r="E58" s="82"/>
      <c r="F58" s="82"/>
      <c r="G58" s="82"/>
      <c r="H58" s="31"/>
      <c r="I58" s="92">
        <f t="shared" si="6"/>
        <v>0</v>
      </c>
      <c r="J58" s="82"/>
      <c r="K58" s="82"/>
      <c r="L58" s="82"/>
      <c r="M58" s="31"/>
      <c r="N58" s="92">
        <f t="shared" si="7"/>
        <v>0</v>
      </c>
      <c r="O58" s="71">
        <f t="shared" si="0"/>
        <v>0</v>
      </c>
      <c r="P58" s="11"/>
    </row>
    <row r="59" spans="1:16" ht="15.5" customHeight="1" x14ac:dyDescent="0.3">
      <c r="A59" s="40"/>
      <c r="B59" s="41"/>
      <c r="C59" s="15" t="s">
        <v>108</v>
      </c>
      <c r="D59" s="11"/>
      <c r="E59" s="82"/>
      <c r="F59" s="82"/>
      <c r="G59" s="82"/>
      <c r="H59" s="26"/>
      <c r="I59" s="13">
        <f t="shared" si="6"/>
        <v>0</v>
      </c>
      <c r="J59" s="82"/>
      <c r="K59" s="82"/>
      <c r="L59" s="82"/>
      <c r="M59" s="26"/>
      <c r="N59" s="13">
        <f t="shared" si="7"/>
        <v>0</v>
      </c>
      <c r="O59" s="12">
        <f t="shared" si="0"/>
        <v>0</v>
      </c>
      <c r="P59" s="11"/>
    </row>
    <row r="60" spans="1:16" ht="15.5" customHeight="1" x14ac:dyDescent="0.3">
      <c r="A60" s="246" t="s">
        <v>58</v>
      </c>
      <c r="B60" s="247"/>
      <c r="C60" s="248"/>
      <c r="D60" s="11"/>
      <c r="E60" s="82"/>
      <c r="F60" s="82"/>
      <c r="G60" s="82"/>
      <c r="H60" s="31"/>
      <c r="I60" s="92">
        <f t="shared" si="6"/>
        <v>0</v>
      </c>
      <c r="J60" s="82"/>
      <c r="K60" s="82"/>
      <c r="L60" s="82"/>
      <c r="M60" s="31"/>
      <c r="N60" s="92">
        <f t="shared" si="7"/>
        <v>0</v>
      </c>
      <c r="O60" s="71">
        <f t="shared" si="0"/>
        <v>0</v>
      </c>
      <c r="P60" s="11"/>
    </row>
    <row r="61" spans="1:16" ht="15.5" customHeight="1" x14ac:dyDescent="0.3">
      <c r="A61" s="40"/>
      <c r="B61" s="41"/>
      <c r="C61" s="15" t="s">
        <v>108</v>
      </c>
      <c r="D61" s="11"/>
      <c r="E61" s="82"/>
      <c r="F61" s="82"/>
      <c r="G61" s="82"/>
      <c r="H61" s="26"/>
      <c r="I61" s="13">
        <f t="shared" si="6"/>
        <v>0</v>
      </c>
      <c r="J61" s="82"/>
      <c r="K61" s="82"/>
      <c r="L61" s="82"/>
      <c r="M61" s="26"/>
      <c r="N61" s="13">
        <f t="shared" si="7"/>
        <v>0</v>
      </c>
      <c r="O61" s="12">
        <f t="shared" si="0"/>
        <v>0</v>
      </c>
      <c r="P61" s="11"/>
    </row>
    <row r="62" spans="1:16" ht="15.5" customHeight="1" x14ac:dyDescent="0.3">
      <c r="A62" s="214"/>
      <c r="B62" s="215"/>
      <c r="C62" s="216"/>
      <c r="D62" s="11"/>
      <c r="E62" s="12"/>
      <c r="F62" s="12"/>
      <c r="G62" s="12"/>
      <c r="H62" s="26"/>
      <c r="I62" s="13"/>
      <c r="J62" s="12"/>
      <c r="K62" s="12"/>
      <c r="L62" s="12"/>
      <c r="M62" s="26"/>
      <c r="N62" s="13"/>
      <c r="O62" s="71"/>
      <c r="P62" s="11"/>
    </row>
    <row r="63" spans="1:16" x14ac:dyDescent="0.3">
      <c r="A63" s="224" t="s">
        <v>59</v>
      </c>
      <c r="B63" s="225"/>
      <c r="C63" s="226"/>
      <c r="D63" s="11"/>
      <c r="E63" s="82"/>
      <c r="F63" s="82"/>
      <c r="G63" s="82"/>
      <c r="H63" s="83"/>
      <c r="I63" s="93"/>
      <c r="J63" s="82"/>
      <c r="K63" s="82"/>
      <c r="L63" s="82"/>
      <c r="M63" s="83"/>
      <c r="N63" s="93"/>
      <c r="O63" s="103"/>
      <c r="P63" s="87"/>
    </row>
    <row r="64" spans="1:16" x14ac:dyDescent="0.3">
      <c r="A64" s="295" t="s">
        <v>67</v>
      </c>
      <c r="B64" s="296"/>
      <c r="C64" s="297"/>
      <c r="D64" s="11"/>
      <c r="E64" s="82"/>
      <c r="F64" s="82"/>
      <c r="G64" s="82"/>
      <c r="H64" s="83"/>
      <c r="I64" s="93"/>
      <c r="J64" s="82"/>
      <c r="K64" s="82"/>
      <c r="L64" s="82"/>
      <c r="M64" s="83"/>
      <c r="N64" s="93"/>
      <c r="O64" s="103"/>
      <c r="P64" s="87"/>
    </row>
    <row r="65" spans="1:16" ht="15.5" customHeight="1" x14ac:dyDescent="0.3">
      <c r="A65" s="308" t="s">
        <v>68</v>
      </c>
      <c r="B65" s="309"/>
      <c r="C65" s="310"/>
      <c r="D65" s="11"/>
      <c r="E65" s="82"/>
      <c r="F65" s="82"/>
      <c r="G65" s="12"/>
      <c r="H65" s="26"/>
      <c r="I65" s="13">
        <f>SUM(G65:H65)</f>
        <v>0</v>
      </c>
      <c r="J65" s="12">
        <v>0</v>
      </c>
      <c r="K65" s="12"/>
      <c r="L65" s="12"/>
      <c r="M65" s="26"/>
      <c r="N65" s="13">
        <f>SUM(L65:M65)</f>
        <v>0</v>
      </c>
      <c r="O65" s="12">
        <f t="shared" si="0"/>
        <v>0</v>
      </c>
      <c r="P65" s="11" t="s">
        <v>216</v>
      </c>
    </row>
    <row r="66" spans="1:16" ht="15.5" customHeight="1" x14ac:dyDescent="0.3">
      <c r="A66" s="308" t="s">
        <v>69</v>
      </c>
      <c r="B66" s="309"/>
      <c r="C66" s="310"/>
      <c r="D66" s="11"/>
      <c r="E66" s="85"/>
      <c r="F66" s="85"/>
      <c r="G66" s="56"/>
      <c r="H66" s="60"/>
      <c r="I66" s="13">
        <f>SUM(G66:H66)</f>
        <v>0</v>
      </c>
      <c r="J66" s="12">
        <v>6</v>
      </c>
      <c r="K66" s="56"/>
      <c r="L66" s="56"/>
      <c r="M66" s="60"/>
      <c r="N66" s="13">
        <f>SUM(L66:M66)</f>
        <v>0</v>
      </c>
      <c r="O66" s="12">
        <f t="shared" si="0"/>
        <v>0</v>
      </c>
      <c r="P66" s="11" t="s">
        <v>217</v>
      </c>
    </row>
    <row r="67" spans="1:16" ht="27.65" customHeight="1" x14ac:dyDescent="0.3">
      <c r="A67" s="311" t="s">
        <v>66</v>
      </c>
      <c r="B67" s="312"/>
      <c r="C67" s="313"/>
      <c r="D67" s="16"/>
      <c r="E67" s="12"/>
      <c r="F67" s="61"/>
      <c r="G67" s="61"/>
      <c r="H67" s="63"/>
      <c r="I67" s="61">
        <f>SUM(E67:H67)</f>
        <v>0</v>
      </c>
      <c r="J67" s="61">
        <v>10412</v>
      </c>
      <c r="K67" s="61"/>
      <c r="L67" s="61"/>
      <c r="M67" s="63"/>
      <c r="N67" s="61">
        <f>SUM(J67:M67)</f>
        <v>10412</v>
      </c>
      <c r="O67" s="12">
        <f t="shared" si="0"/>
        <v>10412</v>
      </c>
      <c r="P67" s="16"/>
    </row>
    <row r="68" spans="1:16" ht="15.5" customHeight="1" x14ac:dyDescent="0.3">
      <c r="A68" s="43"/>
      <c r="B68" s="44"/>
      <c r="C68" s="45"/>
      <c r="D68" s="16"/>
      <c r="E68" s="12"/>
      <c r="F68" s="12"/>
      <c r="G68" s="12"/>
      <c r="H68" s="26"/>
      <c r="I68" s="13"/>
      <c r="J68" s="12"/>
      <c r="K68" s="12"/>
      <c r="L68" s="12"/>
      <c r="M68" s="26"/>
      <c r="N68" s="13"/>
      <c r="O68" s="71"/>
      <c r="P68" s="16"/>
    </row>
    <row r="69" spans="1:16" x14ac:dyDescent="0.3">
      <c r="A69" s="295" t="s">
        <v>70</v>
      </c>
      <c r="B69" s="296"/>
      <c r="C69" s="297"/>
      <c r="D69" s="11"/>
      <c r="E69" s="82"/>
      <c r="F69" s="82"/>
      <c r="G69" s="82"/>
      <c r="H69" s="83"/>
      <c r="I69" s="93"/>
      <c r="J69" s="82"/>
      <c r="K69" s="82"/>
      <c r="L69" s="82"/>
      <c r="M69" s="83"/>
      <c r="N69" s="93"/>
      <c r="O69" s="103"/>
      <c r="P69" s="87"/>
    </row>
    <row r="70" spans="1:16" ht="15.5" customHeight="1" x14ac:dyDescent="0.3">
      <c r="A70" s="308" t="s">
        <v>74</v>
      </c>
      <c r="B70" s="309"/>
      <c r="C70" s="310"/>
      <c r="D70" s="11"/>
      <c r="E70" s="61"/>
      <c r="F70" s="61"/>
      <c r="G70" s="61"/>
      <c r="H70" s="61"/>
      <c r="I70" s="62">
        <f>SUM(E70:H70)</f>
        <v>0</v>
      </c>
      <c r="J70" s="61" t="s">
        <v>170</v>
      </c>
      <c r="K70" s="61"/>
      <c r="L70" s="61"/>
      <c r="M70" s="61"/>
      <c r="N70" s="62">
        <f>SUM(J70:M70)</f>
        <v>0</v>
      </c>
      <c r="O70" s="12">
        <f t="shared" si="0"/>
        <v>0</v>
      </c>
      <c r="P70" s="11"/>
    </row>
    <row r="71" spans="1:16" ht="15.5" customHeight="1" x14ac:dyDescent="0.3">
      <c r="A71" s="308" t="s">
        <v>71</v>
      </c>
      <c r="B71" s="309"/>
      <c r="C71" s="310"/>
      <c r="D71" s="11"/>
      <c r="E71" s="61"/>
      <c r="F71" s="61"/>
      <c r="G71" s="61"/>
      <c r="H71" s="63"/>
      <c r="I71" s="62">
        <f t="shared" ref="I71:I72" si="8">SUM(E71:H71)</f>
        <v>0</v>
      </c>
      <c r="J71" s="61" t="s">
        <v>170</v>
      </c>
      <c r="K71" s="61"/>
      <c r="L71" s="61"/>
      <c r="M71" s="63"/>
      <c r="N71" s="62">
        <f t="shared" ref="N71:N72" si="9">SUM(J71:M71)</f>
        <v>0</v>
      </c>
      <c r="O71" s="12">
        <f t="shared" si="0"/>
        <v>0</v>
      </c>
      <c r="P71" s="11"/>
    </row>
    <row r="72" spans="1:16" ht="15.5" customHeight="1" x14ac:dyDescent="0.3">
      <c r="A72" s="308" t="s">
        <v>72</v>
      </c>
      <c r="B72" s="309"/>
      <c r="C72" s="310"/>
      <c r="D72" s="11"/>
      <c r="E72" s="12"/>
      <c r="F72" s="12"/>
      <c r="G72" s="12"/>
      <c r="H72" s="26"/>
      <c r="I72" s="62">
        <f t="shared" si="8"/>
        <v>0</v>
      </c>
      <c r="J72" s="12">
        <v>113</v>
      </c>
      <c r="K72" s="12"/>
      <c r="L72" s="12"/>
      <c r="M72" s="26"/>
      <c r="N72" s="62">
        <f t="shared" si="9"/>
        <v>113</v>
      </c>
      <c r="O72" s="12">
        <f t="shared" si="0"/>
        <v>113</v>
      </c>
      <c r="P72" s="11"/>
    </row>
    <row r="73" spans="1:16" ht="15.5" customHeight="1" x14ac:dyDescent="0.3">
      <c r="A73" s="214"/>
      <c r="B73" s="215"/>
      <c r="C73" s="216"/>
      <c r="D73" s="11"/>
      <c r="E73" s="12"/>
      <c r="F73" s="12"/>
      <c r="G73" s="12"/>
      <c r="H73" s="26"/>
      <c r="I73" s="62"/>
      <c r="J73" s="12"/>
      <c r="K73" s="12"/>
      <c r="L73" s="12"/>
      <c r="M73" s="26"/>
      <c r="N73" s="62"/>
      <c r="O73" s="12"/>
      <c r="P73" s="11"/>
    </row>
    <row r="74" spans="1:16" x14ac:dyDescent="0.3">
      <c r="A74" s="295" t="s">
        <v>73</v>
      </c>
      <c r="B74" s="296"/>
      <c r="C74" s="297"/>
      <c r="D74" s="11"/>
      <c r="E74" s="12"/>
      <c r="F74" s="12"/>
      <c r="G74" s="12"/>
      <c r="H74" s="26"/>
      <c r="I74" s="62">
        <f>SUM(E74:H74)</f>
        <v>0</v>
      </c>
      <c r="J74" s="12"/>
      <c r="K74" s="12"/>
      <c r="L74" s="12"/>
      <c r="M74" s="26"/>
      <c r="N74" s="62">
        <f>SUM(J74:M74)</f>
        <v>0</v>
      </c>
      <c r="O74" s="12">
        <f t="shared" si="0"/>
        <v>0</v>
      </c>
      <c r="P74" s="11"/>
    </row>
    <row r="75" spans="1:16" ht="15.5" customHeight="1" x14ac:dyDescent="0.3">
      <c r="A75" s="214"/>
      <c r="B75" s="215"/>
      <c r="C75" s="216"/>
      <c r="D75" s="11"/>
      <c r="E75" s="12"/>
      <c r="F75" s="12"/>
      <c r="G75" s="12"/>
      <c r="H75" s="26"/>
      <c r="I75" s="13"/>
      <c r="J75" s="12"/>
      <c r="K75" s="12"/>
      <c r="L75" s="12"/>
      <c r="M75" s="26"/>
      <c r="N75" s="13"/>
      <c r="O75" s="104"/>
      <c r="P75" s="11"/>
    </row>
    <row r="76" spans="1:16" x14ac:dyDescent="0.3">
      <c r="A76" s="208" t="s">
        <v>42</v>
      </c>
      <c r="B76" s="209"/>
      <c r="C76" s="210"/>
      <c r="D76" s="19">
        <v>310300000000000</v>
      </c>
      <c r="E76" s="34"/>
      <c r="F76" s="34"/>
      <c r="G76" s="34"/>
      <c r="H76" s="29"/>
      <c r="I76" s="51"/>
      <c r="J76" s="34"/>
      <c r="K76" s="34"/>
      <c r="L76" s="34"/>
      <c r="M76" s="29"/>
      <c r="N76" s="51"/>
      <c r="O76" s="71"/>
      <c r="P76" s="9"/>
    </row>
    <row r="77" spans="1:16" x14ac:dyDescent="0.3">
      <c r="A77" s="211" t="s">
        <v>23</v>
      </c>
      <c r="B77" s="212"/>
      <c r="C77" s="213"/>
      <c r="D77" s="11"/>
      <c r="E77" s="82"/>
      <c r="F77" s="82"/>
      <c r="G77" s="82"/>
      <c r="H77" s="83"/>
      <c r="I77" s="93"/>
      <c r="J77" s="82"/>
      <c r="K77" s="82"/>
      <c r="L77" s="82"/>
      <c r="M77" s="83"/>
      <c r="N77" s="93"/>
      <c r="O77" s="103"/>
      <c r="P77" s="87"/>
    </row>
    <row r="78" spans="1:16" ht="12.65" customHeight="1" x14ac:dyDescent="0.3">
      <c r="A78" s="243" t="s">
        <v>77</v>
      </c>
      <c r="B78" s="244"/>
      <c r="C78" s="245"/>
      <c r="D78" s="16"/>
      <c r="E78" s="82"/>
      <c r="F78" s="82"/>
      <c r="G78" s="82"/>
      <c r="H78" s="83"/>
      <c r="I78" s="86"/>
      <c r="J78" s="82"/>
      <c r="K78" s="82"/>
      <c r="L78" s="82"/>
      <c r="M78" s="83"/>
      <c r="N78" s="86"/>
      <c r="O78" s="103"/>
      <c r="P78" s="86"/>
    </row>
    <row r="79" spans="1:16" ht="15" customHeight="1" x14ac:dyDescent="0.3">
      <c r="A79" s="246" t="s">
        <v>78</v>
      </c>
      <c r="B79" s="247"/>
      <c r="C79" s="248"/>
      <c r="D79" s="11"/>
      <c r="E79" s="82"/>
      <c r="F79" s="82"/>
      <c r="G79" s="82"/>
      <c r="H79" s="65"/>
      <c r="I79" s="66">
        <f>H79</f>
        <v>0</v>
      </c>
      <c r="J79" s="82"/>
      <c r="K79" s="82"/>
      <c r="L79" s="82"/>
      <c r="M79" s="65"/>
      <c r="N79" s="66">
        <f>M79</f>
        <v>0</v>
      </c>
      <c r="O79" s="71">
        <f t="shared" si="0"/>
        <v>0</v>
      </c>
      <c r="P79" s="11"/>
    </row>
    <row r="80" spans="1:16" ht="15" customHeight="1" x14ac:dyDescent="0.3">
      <c r="A80" s="40"/>
      <c r="B80" s="41"/>
      <c r="C80" s="15" t="s">
        <v>108</v>
      </c>
      <c r="D80" s="11"/>
      <c r="E80" s="82"/>
      <c r="F80" s="82"/>
      <c r="G80" s="82"/>
      <c r="H80" s="63"/>
      <c r="I80" s="99">
        <f t="shared" ref="I80:I86" si="10">H80</f>
        <v>0</v>
      </c>
      <c r="J80" s="82"/>
      <c r="K80" s="82"/>
      <c r="L80" s="82"/>
      <c r="M80" s="63"/>
      <c r="N80" s="99">
        <f t="shared" ref="N80:N86" si="11">M80</f>
        <v>0</v>
      </c>
      <c r="O80" s="12">
        <f t="shared" si="0"/>
        <v>0</v>
      </c>
      <c r="P80" s="11"/>
    </row>
    <row r="81" spans="1:16" ht="30" customHeight="1" x14ac:dyDescent="0.3">
      <c r="A81" s="258" t="s">
        <v>76</v>
      </c>
      <c r="B81" s="259"/>
      <c r="C81" s="260"/>
      <c r="D81" s="11"/>
      <c r="E81" s="82"/>
      <c r="F81" s="82"/>
      <c r="G81" s="82"/>
      <c r="H81" s="65"/>
      <c r="I81" s="66">
        <f t="shared" si="10"/>
        <v>0</v>
      </c>
      <c r="J81" s="82"/>
      <c r="K81" s="82"/>
      <c r="L81" s="82"/>
      <c r="M81" s="65"/>
      <c r="N81" s="66">
        <f t="shared" si="11"/>
        <v>0</v>
      </c>
      <c r="O81" s="71">
        <f t="shared" si="0"/>
        <v>0</v>
      </c>
      <c r="P81" s="11"/>
    </row>
    <row r="82" spans="1:16" ht="15.5" customHeight="1" x14ac:dyDescent="0.3">
      <c r="A82" s="40"/>
      <c r="B82" s="41"/>
      <c r="C82" s="15" t="s">
        <v>108</v>
      </c>
      <c r="D82" s="11"/>
      <c r="E82" s="82"/>
      <c r="F82" s="82"/>
      <c r="G82" s="82"/>
      <c r="H82" s="63"/>
      <c r="I82" s="99">
        <f t="shared" si="10"/>
        <v>0</v>
      </c>
      <c r="J82" s="82"/>
      <c r="K82" s="82"/>
      <c r="L82" s="82"/>
      <c r="M82" s="63"/>
      <c r="N82" s="99">
        <f t="shared" si="11"/>
        <v>0</v>
      </c>
      <c r="O82" s="12">
        <f t="shared" si="0"/>
        <v>0</v>
      </c>
      <c r="P82" s="11"/>
    </row>
    <row r="83" spans="1:16" ht="15.5" customHeight="1" x14ac:dyDescent="0.3">
      <c r="A83" s="246" t="s">
        <v>79</v>
      </c>
      <c r="B83" s="247"/>
      <c r="C83" s="248"/>
      <c r="D83" s="11"/>
      <c r="E83" s="82"/>
      <c r="F83" s="82"/>
      <c r="G83" s="82"/>
      <c r="H83" s="65"/>
      <c r="I83" s="66">
        <f t="shared" si="10"/>
        <v>0</v>
      </c>
      <c r="J83" s="82"/>
      <c r="K83" s="82"/>
      <c r="L83" s="82"/>
      <c r="M83" s="65"/>
      <c r="N83" s="66">
        <f t="shared" si="11"/>
        <v>0</v>
      </c>
      <c r="O83" s="71">
        <f t="shared" si="0"/>
        <v>0</v>
      </c>
      <c r="P83" s="11"/>
    </row>
    <row r="84" spans="1:16" ht="15.5" customHeight="1" x14ac:dyDescent="0.3">
      <c r="A84" s="40"/>
      <c r="B84" s="41"/>
      <c r="C84" s="15" t="s">
        <v>108</v>
      </c>
      <c r="D84" s="11"/>
      <c r="E84" s="82"/>
      <c r="F84" s="82"/>
      <c r="G84" s="82"/>
      <c r="H84" s="63"/>
      <c r="I84" s="99">
        <f t="shared" si="10"/>
        <v>0</v>
      </c>
      <c r="J84" s="82"/>
      <c r="K84" s="82"/>
      <c r="L84" s="82"/>
      <c r="M84" s="63"/>
      <c r="N84" s="99">
        <f t="shared" si="11"/>
        <v>0</v>
      </c>
      <c r="O84" s="12">
        <f t="shared" si="0"/>
        <v>0</v>
      </c>
      <c r="P84" s="11"/>
    </row>
    <row r="85" spans="1:16" ht="15.5" customHeight="1" x14ac:dyDescent="0.3">
      <c r="A85" s="246" t="s">
        <v>81</v>
      </c>
      <c r="B85" s="247"/>
      <c r="C85" s="248"/>
      <c r="D85" s="11"/>
      <c r="E85" s="82"/>
      <c r="F85" s="82"/>
      <c r="G85" s="82"/>
      <c r="H85" s="65"/>
      <c r="I85" s="66">
        <f t="shared" si="10"/>
        <v>0</v>
      </c>
      <c r="J85" s="82"/>
      <c r="K85" s="82"/>
      <c r="L85" s="82"/>
      <c r="M85" s="65"/>
      <c r="N85" s="66">
        <f t="shared" si="11"/>
        <v>0</v>
      </c>
      <c r="O85" s="71">
        <f t="shared" ref="O85:O128" si="12">N85-I85</f>
        <v>0</v>
      </c>
      <c r="P85" s="11"/>
    </row>
    <row r="86" spans="1:16" ht="15.5" customHeight="1" x14ac:dyDescent="0.3">
      <c r="A86" s="37"/>
      <c r="B86" s="38"/>
      <c r="C86" s="15" t="s">
        <v>108</v>
      </c>
      <c r="D86" s="11"/>
      <c r="E86" s="82"/>
      <c r="F86" s="82"/>
      <c r="G86" s="82"/>
      <c r="H86" s="63"/>
      <c r="I86" s="99">
        <f t="shared" si="10"/>
        <v>0</v>
      </c>
      <c r="J86" s="82"/>
      <c r="K86" s="82"/>
      <c r="L86" s="82"/>
      <c r="M86" s="63"/>
      <c r="N86" s="99">
        <f t="shared" si="11"/>
        <v>0</v>
      </c>
      <c r="O86" s="12">
        <f t="shared" si="12"/>
        <v>0</v>
      </c>
      <c r="P86" s="11"/>
    </row>
    <row r="87" spans="1:16" ht="15.5" customHeight="1" x14ac:dyDescent="0.3">
      <c r="A87" s="214"/>
      <c r="B87" s="215"/>
      <c r="C87" s="216"/>
      <c r="D87" s="11"/>
      <c r="E87" s="12"/>
      <c r="F87" s="12"/>
      <c r="G87" s="12"/>
      <c r="H87" s="63"/>
      <c r="I87" s="13"/>
      <c r="J87" s="12"/>
      <c r="K87" s="12"/>
      <c r="L87" s="12"/>
      <c r="M87" s="63"/>
      <c r="N87" s="13"/>
      <c r="O87" s="71"/>
      <c r="P87" s="11"/>
    </row>
    <row r="88" spans="1:16" ht="13" customHeight="1" x14ac:dyDescent="0.3">
      <c r="A88" s="261" t="s">
        <v>80</v>
      </c>
      <c r="B88" s="262"/>
      <c r="C88" s="263"/>
      <c r="D88" s="16"/>
      <c r="E88" s="82"/>
      <c r="F88" s="82"/>
      <c r="G88" s="82"/>
      <c r="H88" s="64"/>
      <c r="I88" s="66">
        <f>H88</f>
        <v>0</v>
      </c>
      <c r="J88" s="82"/>
      <c r="K88" s="82"/>
      <c r="L88" s="82"/>
      <c r="M88" s="64"/>
      <c r="N88" s="66">
        <f>M88</f>
        <v>0</v>
      </c>
      <c r="O88" s="71">
        <f t="shared" si="12"/>
        <v>0</v>
      </c>
      <c r="P88" s="16"/>
    </row>
    <row r="89" spans="1:16" ht="15.5" customHeight="1" x14ac:dyDescent="0.3">
      <c r="A89" s="214"/>
      <c r="B89" s="215"/>
      <c r="C89" s="216"/>
      <c r="D89" s="11"/>
      <c r="E89" s="12"/>
      <c r="F89" s="12"/>
      <c r="G89" s="12"/>
      <c r="H89" s="26"/>
      <c r="I89" s="13"/>
      <c r="J89" s="12"/>
      <c r="K89" s="12"/>
      <c r="L89" s="12"/>
      <c r="M89" s="26"/>
      <c r="N89" s="13"/>
      <c r="O89" s="71"/>
      <c r="P89" s="11"/>
    </row>
    <row r="90" spans="1:16" x14ac:dyDescent="0.3">
      <c r="A90" s="264" t="s">
        <v>59</v>
      </c>
      <c r="B90" s="265"/>
      <c r="C90" s="266"/>
      <c r="D90" s="11"/>
      <c r="E90" s="82"/>
      <c r="F90" s="82"/>
      <c r="G90" s="82"/>
      <c r="H90" s="83"/>
      <c r="I90" s="93"/>
      <c r="J90" s="82"/>
      <c r="K90" s="82"/>
      <c r="L90" s="82"/>
      <c r="M90" s="83"/>
      <c r="N90" s="93"/>
      <c r="O90" s="103"/>
      <c r="P90" s="87"/>
    </row>
    <row r="91" spans="1:16" x14ac:dyDescent="0.3">
      <c r="A91" s="264" t="s">
        <v>82</v>
      </c>
      <c r="B91" s="265"/>
      <c r="C91" s="266"/>
      <c r="D91" s="11"/>
      <c r="E91" s="82"/>
      <c r="F91" s="82"/>
      <c r="G91" s="82"/>
      <c r="H91" s="83"/>
      <c r="I91" s="93"/>
      <c r="J91" s="82"/>
      <c r="K91" s="82"/>
      <c r="L91" s="82"/>
      <c r="M91" s="83"/>
      <c r="N91" s="93"/>
      <c r="O91" s="103"/>
      <c r="P91" s="87"/>
    </row>
    <row r="92" spans="1:16" ht="15.5" customHeight="1" x14ac:dyDescent="0.3">
      <c r="A92" s="246" t="s">
        <v>83</v>
      </c>
      <c r="B92" s="247"/>
      <c r="C92" s="248"/>
      <c r="D92" s="11"/>
      <c r="E92" s="82"/>
      <c r="F92" s="82"/>
      <c r="G92" s="26"/>
      <c r="H92" s="83"/>
      <c r="I92" s="13">
        <f>G92</f>
        <v>0</v>
      </c>
      <c r="J92" s="82"/>
      <c r="K92" s="82"/>
      <c r="L92" s="26"/>
      <c r="M92" s="83"/>
      <c r="N92" s="13">
        <f>L92</f>
        <v>0</v>
      </c>
      <c r="O92" s="12">
        <f t="shared" si="12"/>
        <v>0</v>
      </c>
      <c r="P92" s="11"/>
    </row>
    <row r="93" spans="1:16" ht="15.5" customHeight="1" x14ac:dyDescent="0.3">
      <c r="A93" s="246" t="s">
        <v>84</v>
      </c>
      <c r="B93" s="247"/>
      <c r="C93" s="248"/>
      <c r="D93" s="11"/>
      <c r="E93" s="82"/>
      <c r="F93" s="82"/>
      <c r="G93" s="26"/>
      <c r="H93" s="83"/>
      <c r="I93" s="13">
        <f t="shared" ref="I93:I96" si="13">G93</f>
        <v>0</v>
      </c>
      <c r="J93" s="82"/>
      <c r="K93" s="82"/>
      <c r="L93" s="26"/>
      <c r="M93" s="83"/>
      <c r="N93" s="13">
        <f t="shared" ref="N93:N96" si="14">L93</f>
        <v>0</v>
      </c>
      <c r="O93" s="12">
        <f t="shared" si="12"/>
        <v>0</v>
      </c>
      <c r="P93" s="11"/>
    </row>
    <row r="94" spans="1:16" ht="15.5" customHeight="1" x14ac:dyDescent="0.3">
      <c r="A94" s="246" t="s">
        <v>85</v>
      </c>
      <c r="B94" s="247"/>
      <c r="C94" s="248"/>
      <c r="D94" s="11"/>
      <c r="E94" s="82"/>
      <c r="F94" s="82"/>
      <c r="G94" s="26"/>
      <c r="H94" s="83"/>
      <c r="I94" s="13">
        <f t="shared" si="13"/>
        <v>0</v>
      </c>
      <c r="J94" s="82"/>
      <c r="K94" s="82"/>
      <c r="L94" s="26"/>
      <c r="M94" s="83"/>
      <c r="N94" s="13">
        <f t="shared" si="14"/>
        <v>0</v>
      </c>
      <c r="O94" s="12">
        <f t="shared" si="12"/>
        <v>0</v>
      </c>
      <c r="P94" s="11"/>
    </row>
    <row r="95" spans="1:16" ht="34.75" customHeight="1" x14ac:dyDescent="0.3">
      <c r="A95" s="252" t="s">
        <v>112</v>
      </c>
      <c r="B95" s="253"/>
      <c r="C95" s="254"/>
      <c r="D95" s="11"/>
      <c r="E95" s="82"/>
      <c r="F95" s="82"/>
      <c r="G95" s="26"/>
      <c r="H95" s="83"/>
      <c r="I95" s="13">
        <f t="shared" si="13"/>
        <v>0</v>
      </c>
      <c r="J95" s="82"/>
      <c r="K95" s="82"/>
      <c r="L95" s="26"/>
      <c r="M95" s="83"/>
      <c r="N95" s="13">
        <f t="shared" si="14"/>
        <v>0</v>
      </c>
      <c r="O95" s="12">
        <f t="shared" si="12"/>
        <v>0</v>
      </c>
      <c r="P95" s="11"/>
    </row>
    <row r="96" spans="1:16" x14ac:dyDescent="0.3">
      <c r="A96" s="252" t="s">
        <v>65</v>
      </c>
      <c r="B96" s="253"/>
      <c r="C96" s="254"/>
      <c r="D96" s="11"/>
      <c r="E96" s="82"/>
      <c r="F96" s="82"/>
      <c r="G96" s="68"/>
      <c r="H96" s="84"/>
      <c r="I96" s="13">
        <f t="shared" si="13"/>
        <v>0</v>
      </c>
      <c r="J96" s="82"/>
      <c r="K96" s="82"/>
      <c r="L96" s="68"/>
      <c r="M96" s="84"/>
      <c r="N96" s="13">
        <f t="shared" si="14"/>
        <v>0</v>
      </c>
      <c r="O96" s="12">
        <f t="shared" si="12"/>
        <v>0</v>
      </c>
      <c r="P96" s="11"/>
    </row>
    <row r="97" spans="1:16" x14ac:dyDescent="0.3">
      <c r="A97" s="211"/>
      <c r="B97" s="212"/>
      <c r="C97" s="213"/>
      <c r="D97" s="11"/>
      <c r="E97" s="12"/>
      <c r="F97" s="12"/>
      <c r="G97" s="12"/>
      <c r="H97" s="26"/>
      <c r="I97" s="16"/>
      <c r="J97" s="12"/>
      <c r="K97" s="12"/>
      <c r="L97" s="12"/>
      <c r="M97" s="26"/>
      <c r="N97" s="16"/>
      <c r="O97" s="104"/>
      <c r="P97" s="11"/>
    </row>
    <row r="98" spans="1:16" x14ac:dyDescent="0.3">
      <c r="A98" s="208" t="s">
        <v>41</v>
      </c>
      <c r="B98" s="209"/>
      <c r="C98" s="210"/>
      <c r="D98" s="19">
        <v>310400000000000</v>
      </c>
      <c r="E98" s="34"/>
      <c r="F98" s="34"/>
      <c r="G98" s="34"/>
      <c r="H98" s="29"/>
      <c r="I98" s="51"/>
      <c r="J98" s="9"/>
      <c r="K98" s="9"/>
      <c r="L98" s="9"/>
      <c r="M98" s="9"/>
      <c r="N98" s="9"/>
      <c r="O98" s="71"/>
      <c r="P98" s="9"/>
    </row>
    <row r="99" spans="1:16" x14ac:dyDescent="0.3">
      <c r="A99" s="211" t="s">
        <v>86</v>
      </c>
      <c r="B99" s="212"/>
      <c r="C99" s="213"/>
      <c r="D99" s="11"/>
      <c r="E99" s="82"/>
      <c r="F99" s="82"/>
      <c r="G99" s="82"/>
      <c r="H99" s="83"/>
      <c r="I99" s="93"/>
      <c r="J99" s="87"/>
      <c r="K99" s="87"/>
      <c r="L99" s="87"/>
      <c r="M99" s="87"/>
      <c r="N99" s="87"/>
      <c r="O99" s="103"/>
      <c r="P99" s="87"/>
    </row>
    <row r="100" spans="1:16" ht="13" customHeight="1" x14ac:dyDescent="0.3">
      <c r="A100" s="243" t="s">
        <v>87</v>
      </c>
      <c r="B100" s="244"/>
      <c r="C100" s="245"/>
      <c r="D100" s="16"/>
      <c r="E100" s="82"/>
      <c r="F100" s="82"/>
      <c r="G100" s="82"/>
      <c r="H100" s="83"/>
      <c r="I100" s="86"/>
      <c r="J100" s="86"/>
      <c r="K100" s="86"/>
      <c r="L100" s="86"/>
      <c r="M100" s="86"/>
      <c r="N100" s="86"/>
      <c r="O100" s="103"/>
      <c r="P100" s="86"/>
    </row>
    <row r="101" spans="1:16" ht="15.5" customHeight="1" x14ac:dyDescent="0.3">
      <c r="A101" s="246" t="s">
        <v>56</v>
      </c>
      <c r="B101" s="247"/>
      <c r="C101" s="248"/>
      <c r="D101" s="11"/>
      <c r="E101" s="82"/>
      <c r="F101" s="82"/>
      <c r="G101" s="82"/>
      <c r="H101" s="68"/>
      <c r="I101" s="96">
        <f>H101</f>
        <v>0</v>
      </c>
      <c r="J101" s="82"/>
      <c r="K101" s="82"/>
      <c r="L101" s="82"/>
      <c r="M101" s="101"/>
      <c r="N101" s="102">
        <f>M101</f>
        <v>0</v>
      </c>
      <c r="O101" s="71">
        <f t="shared" si="12"/>
        <v>0</v>
      </c>
      <c r="P101" s="11"/>
    </row>
    <row r="102" spans="1:16" ht="15.5" customHeight="1" x14ac:dyDescent="0.3">
      <c r="A102" s="246" t="s">
        <v>88</v>
      </c>
      <c r="B102" s="247"/>
      <c r="C102" s="248"/>
      <c r="D102" s="11"/>
      <c r="E102" s="82"/>
      <c r="F102" s="82"/>
      <c r="G102" s="82"/>
      <c r="H102" s="31"/>
      <c r="I102" s="96">
        <f>H102</f>
        <v>0</v>
      </c>
      <c r="J102" s="82"/>
      <c r="K102" s="82"/>
      <c r="L102" s="82"/>
      <c r="M102" s="101"/>
      <c r="N102" s="102">
        <f>M102</f>
        <v>0</v>
      </c>
      <c r="O102" s="71">
        <f t="shared" si="12"/>
        <v>0</v>
      </c>
      <c r="P102" s="11"/>
    </row>
    <row r="103" spans="1:16" ht="13" customHeight="1" x14ac:dyDescent="0.3">
      <c r="A103" s="243" t="s">
        <v>89</v>
      </c>
      <c r="B103" s="244"/>
      <c r="C103" s="245"/>
      <c r="D103" s="16"/>
      <c r="E103" s="82"/>
      <c r="F103" s="82"/>
      <c r="G103" s="82"/>
      <c r="H103" s="100"/>
      <c r="I103" s="86"/>
      <c r="J103" s="82"/>
      <c r="K103" s="82"/>
      <c r="L103" s="82"/>
      <c r="M103" s="86"/>
      <c r="N103" s="86"/>
      <c r="O103" s="103"/>
      <c r="P103" s="86"/>
    </row>
    <row r="104" spans="1:16" ht="15.5" customHeight="1" x14ac:dyDescent="0.3">
      <c r="A104" s="246" t="s">
        <v>56</v>
      </c>
      <c r="B104" s="247"/>
      <c r="C104" s="248"/>
      <c r="D104" s="11"/>
      <c r="E104" s="82"/>
      <c r="F104" s="82"/>
      <c r="G104" s="82"/>
      <c r="H104" s="31"/>
      <c r="I104" s="96">
        <f>H104</f>
        <v>0</v>
      </c>
      <c r="J104" s="82"/>
      <c r="K104" s="82"/>
      <c r="L104" s="82"/>
      <c r="M104" s="101"/>
      <c r="N104" s="71">
        <f>M104</f>
        <v>0</v>
      </c>
      <c r="O104" s="71">
        <f t="shared" si="12"/>
        <v>0</v>
      </c>
      <c r="P104" s="11"/>
    </row>
    <row r="105" spans="1:16" ht="15.5" customHeight="1" x14ac:dyDescent="0.3">
      <c r="A105" s="246" t="s">
        <v>88</v>
      </c>
      <c r="B105" s="247"/>
      <c r="C105" s="248"/>
      <c r="D105" s="11"/>
      <c r="E105" s="82"/>
      <c r="F105" s="82"/>
      <c r="G105" s="82"/>
      <c r="H105" s="31"/>
      <c r="I105" s="96">
        <f>H105</f>
        <v>0</v>
      </c>
      <c r="J105" s="82"/>
      <c r="K105" s="82"/>
      <c r="L105" s="82"/>
      <c r="M105" s="101"/>
      <c r="N105" s="71">
        <f>M105</f>
        <v>0</v>
      </c>
      <c r="O105" s="71">
        <f t="shared" si="12"/>
        <v>0</v>
      </c>
      <c r="P105" s="11"/>
    </row>
    <row r="106" spans="1:16" ht="27.65" customHeight="1" x14ac:dyDescent="0.3">
      <c r="A106" s="243" t="s">
        <v>90</v>
      </c>
      <c r="B106" s="244"/>
      <c r="C106" s="245"/>
      <c r="D106" s="16"/>
      <c r="E106" s="82"/>
      <c r="F106" s="82"/>
      <c r="G106" s="82"/>
      <c r="H106" s="83"/>
      <c r="I106" s="86"/>
      <c r="J106" s="86"/>
      <c r="K106" s="86"/>
      <c r="L106" s="86"/>
      <c r="M106" s="86"/>
      <c r="N106" s="86"/>
      <c r="O106" s="103"/>
      <c r="P106" s="86"/>
    </row>
    <row r="107" spans="1:16" ht="15.5" customHeight="1" x14ac:dyDescent="0.3">
      <c r="A107" s="246" t="s">
        <v>91</v>
      </c>
      <c r="B107" s="247"/>
      <c r="C107" s="248"/>
      <c r="D107" s="11"/>
      <c r="E107" s="109">
        <v>1</v>
      </c>
      <c r="F107" s="82"/>
      <c r="G107" s="82"/>
      <c r="H107" s="83"/>
      <c r="I107" s="96">
        <f>E107</f>
        <v>1</v>
      </c>
      <c r="J107" s="156" t="s">
        <v>204</v>
      </c>
      <c r="K107" s="82"/>
      <c r="L107" s="82"/>
      <c r="M107" s="83"/>
      <c r="N107" s="71" t="str">
        <f>J107</f>
        <v>NDA</v>
      </c>
      <c r="O107" s="71" t="e">
        <f t="shared" si="12"/>
        <v>#VALUE!</v>
      </c>
      <c r="P107" s="11"/>
    </row>
    <row r="108" spans="1:16" ht="15.5" customHeight="1" x14ac:dyDescent="0.3">
      <c r="A108" s="246" t="s">
        <v>92</v>
      </c>
      <c r="B108" s="247"/>
      <c r="C108" s="248"/>
      <c r="D108" s="11"/>
      <c r="E108" s="109">
        <v>1</v>
      </c>
      <c r="F108" s="82"/>
      <c r="G108" s="82"/>
      <c r="H108" s="83"/>
      <c r="I108" s="96">
        <f t="shared" ref="I108:I109" si="15">E108</f>
        <v>1</v>
      </c>
      <c r="J108" s="156" t="s">
        <v>204</v>
      </c>
      <c r="K108" s="82"/>
      <c r="L108" s="82"/>
      <c r="M108" s="83"/>
      <c r="N108" s="71" t="str">
        <f t="shared" ref="N108:N109" si="16">J108</f>
        <v>NDA</v>
      </c>
      <c r="O108" s="71" t="e">
        <f t="shared" si="12"/>
        <v>#VALUE!</v>
      </c>
      <c r="P108" s="11"/>
    </row>
    <row r="109" spans="1:16" ht="15.5" customHeight="1" x14ac:dyDescent="0.3">
      <c r="A109" s="246" t="s">
        <v>93</v>
      </c>
      <c r="B109" s="247"/>
      <c r="C109" s="248"/>
      <c r="D109" s="11"/>
      <c r="E109" s="109">
        <v>1</v>
      </c>
      <c r="F109" s="82"/>
      <c r="G109" s="82"/>
      <c r="H109" s="83"/>
      <c r="I109" s="96">
        <f t="shared" si="15"/>
        <v>1</v>
      </c>
      <c r="J109" s="156" t="s">
        <v>204</v>
      </c>
      <c r="K109" s="82"/>
      <c r="L109" s="82"/>
      <c r="M109" s="83"/>
      <c r="N109" s="71" t="str">
        <f t="shared" si="16"/>
        <v>NDA</v>
      </c>
      <c r="O109" s="71" t="e">
        <f t="shared" si="12"/>
        <v>#VALUE!</v>
      </c>
      <c r="P109" s="11"/>
    </row>
    <row r="110" spans="1:16" ht="15.5" customHeight="1" x14ac:dyDescent="0.3">
      <c r="A110" s="14"/>
      <c r="B110" s="3"/>
      <c r="C110" s="15"/>
      <c r="D110" s="11"/>
      <c r="E110" s="12"/>
      <c r="F110" s="12"/>
      <c r="G110" s="12"/>
      <c r="H110" s="26"/>
      <c r="I110" s="13"/>
      <c r="J110" s="11"/>
      <c r="K110" s="11"/>
      <c r="L110" s="11"/>
      <c r="M110" s="11"/>
      <c r="N110" s="11"/>
      <c r="O110" s="71"/>
      <c r="P110" s="11"/>
    </row>
    <row r="111" spans="1:16" x14ac:dyDescent="0.3">
      <c r="A111" s="211" t="s">
        <v>24</v>
      </c>
      <c r="B111" s="212"/>
      <c r="C111" s="213"/>
      <c r="D111" s="11"/>
      <c r="E111" s="82"/>
      <c r="F111" s="82"/>
      <c r="G111" s="82"/>
      <c r="H111" s="83"/>
      <c r="I111" s="93"/>
      <c r="J111" s="87"/>
      <c r="K111" s="87"/>
      <c r="L111" s="87"/>
      <c r="M111" s="87"/>
      <c r="N111" s="87"/>
      <c r="O111" s="103"/>
      <c r="P111" s="87"/>
    </row>
    <row r="112" spans="1:16" s="22" customFormat="1" ht="22.25" customHeight="1" x14ac:dyDescent="0.3">
      <c r="A112" s="252" t="s">
        <v>94</v>
      </c>
      <c r="B112" s="253"/>
      <c r="C112" s="254"/>
      <c r="D112" s="16"/>
      <c r="E112" s="82"/>
      <c r="F112" s="82"/>
      <c r="G112" s="82"/>
      <c r="H112" s="83"/>
      <c r="I112" s="86"/>
      <c r="J112" s="86"/>
      <c r="K112" s="86"/>
      <c r="L112" s="86"/>
      <c r="M112" s="86"/>
      <c r="N112" s="86"/>
      <c r="O112" s="103"/>
      <c r="P112" s="86"/>
    </row>
    <row r="113" spans="1:16" ht="15.5" customHeight="1" x14ac:dyDescent="0.3">
      <c r="A113" s="211" t="s">
        <v>28</v>
      </c>
      <c r="B113" s="212"/>
      <c r="C113" s="213"/>
      <c r="D113" s="11"/>
      <c r="E113" s="82"/>
      <c r="F113" s="82"/>
      <c r="G113" s="82"/>
      <c r="H113" s="63"/>
      <c r="I113" s="13">
        <f>H113</f>
        <v>0</v>
      </c>
      <c r="J113" s="82"/>
      <c r="K113" s="82"/>
      <c r="L113" s="82"/>
      <c r="M113" s="11"/>
      <c r="N113" s="12">
        <f>M113</f>
        <v>0</v>
      </c>
      <c r="O113" s="12">
        <f t="shared" si="12"/>
        <v>0</v>
      </c>
      <c r="P113" s="11"/>
    </row>
    <row r="114" spans="1:16" ht="15.5" customHeight="1" x14ac:dyDescent="0.3">
      <c r="A114" s="211" t="s">
        <v>29</v>
      </c>
      <c r="B114" s="212"/>
      <c r="C114" s="213"/>
      <c r="D114" s="11"/>
      <c r="E114" s="82"/>
      <c r="F114" s="82"/>
      <c r="G114" s="82"/>
      <c r="H114" s="63"/>
      <c r="I114" s="13">
        <f>H114</f>
        <v>0</v>
      </c>
      <c r="J114" s="82"/>
      <c r="K114" s="82"/>
      <c r="L114" s="82"/>
      <c r="M114" s="11"/>
      <c r="N114" s="12">
        <f>M114</f>
        <v>0</v>
      </c>
      <c r="O114" s="12">
        <f t="shared" si="12"/>
        <v>0</v>
      </c>
      <c r="P114" s="11"/>
    </row>
    <row r="115" spans="1:16" ht="15.5" customHeight="1" x14ac:dyDescent="0.3">
      <c r="A115" s="14"/>
      <c r="B115" s="3"/>
      <c r="C115" s="15"/>
      <c r="D115" s="11"/>
      <c r="E115" s="12"/>
      <c r="F115" s="12"/>
      <c r="G115" s="12"/>
      <c r="H115" s="26"/>
      <c r="I115" s="13"/>
      <c r="J115" s="11"/>
      <c r="K115" s="11"/>
      <c r="L115" s="11"/>
      <c r="M115" s="11"/>
      <c r="N115" s="11"/>
      <c r="O115" s="71"/>
      <c r="P115" s="11"/>
    </row>
    <row r="116" spans="1:16" ht="13" customHeight="1" x14ac:dyDescent="0.3">
      <c r="A116" s="243" t="s">
        <v>95</v>
      </c>
      <c r="B116" s="244"/>
      <c r="C116" s="245"/>
      <c r="D116" s="11"/>
      <c r="E116" s="82"/>
      <c r="F116" s="82"/>
      <c r="G116" s="82"/>
      <c r="H116" s="83"/>
      <c r="I116" s="86"/>
      <c r="J116" s="87"/>
      <c r="K116" s="87"/>
      <c r="L116" s="87"/>
      <c r="M116" s="87"/>
      <c r="N116" s="87"/>
      <c r="O116" s="103"/>
      <c r="P116" s="87"/>
    </row>
    <row r="117" spans="1:16" ht="15.5" customHeight="1" x14ac:dyDescent="0.3">
      <c r="A117" s="211" t="s">
        <v>30</v>
      </c>
      <c r="B117" s="212"/>
      <c r="C117" s="213"/>
      <c r="D117" s="11"/>
      <c r="E117" s="82"/>
      <c r="F117" s="82"/>
      <c r="G117" s="82"/>
      <c r="H117" s="26"/>
      <c r="I117" s="13">
        <f>H117</f>
        <v>0</v>
      </c>
      <c r="J117" s="82"/>
      <c r="K117" s="82"/>
      <c r="L117" s="82"/>
      <c r="M117" s="11"/>
      <c r="N117" s="12">
        <f>M117</f>
        <v>0</v>
      </c>
      <c r="O117" s="12">
        <f t="shared" si="12"/>
        <v>0</v>
      </c>
      <c r="P117" s="11"/>
    </row>
    <row r="118" spans="1:16" ht="15.5" customHeight="1" x14ac:dyDescent="0.3">
      <c r="A118" s="211" t="s">
        <v>31</v>
      </c>
      <c r="B118" s="212"/>
      <c r="C118" s="213"/>
      <c r="D118" s="11"/>
      <c r="E118" s="82"/>
      <c r="F118" s="82"/>
      <c r="G118" s="82"/>
      <c r="H118" s="26"/>
      <c r="I118" s="13">
        <f t="shared" ref="I118:I119" si="17">H118</f>
        <v>0</v>
      </c>
      <c r="J118" s="82"/>
      <c r="K118" s="82"/>
      <c r="L118" s="82"/>
      <c r="M118" s="11"/>
      <c r="N118" s="12">
        <f t="shared" ref="N118:N119" si="18">M118</f>
        <v>0</v>
      </c>
      <c r="O118" s="12">
        <f t="shared" si="12"/>
        <v>0</v>
      </c>
      <c r="P118" s="11"/>
    </row>
    <row r="119" spans="1:16" ht="15.5" customHeight="1" x14ac:dyDescent="0.3">
      <c r="A119" s="211" t="s">
        <v>32</v>
      </c>
      <c r="B119" s="212"/>
      <c r="C119" s="213"/>
      <c r="D119" s="11"/>
      <c r="E119" s="82"/>
      <c r="F119" s="82"/>
      <c r="G119" s="82"/>
      <c r="H119" s="26"/>
      <c r="I119" s="13">
        <f t="shared" si="17"/>
        <v>0</v>
      </c>
      <c r="J119" s="82"/>
      <c r="K119" s="82"/>
      <c r="L119" s="82"/>
      <c r="M119" s="11"/>
      <c r="N119" s="12">
        <f t="shared" si="18"/>
        <v>0</v>
      </c>
      <c r="O119" s="12">
        <f t="shared" si="12"/>
        <v>0</v>
      </c>
      <c r="P119" s="11"/>
    </row>
    <row r="120" spans="1:16" ht="13" customHeight="1" x14ac:dyDescent="0.3">
      <c r="A120" s="261"/>
      <c r="B120" s="262"/>
      <c r="C120" s="263"/>
      <c r="D120" s="16"/>
      <c r="E120" s="12"/>
      <c r="F120" s="12"/>
      <c r="G120" s="12"/>
      <c r="H120" s="26"/>
      <c r="I120" s="16"/>
      <c r="J120" s="16"/>
      <c r="K120" s="16"/>
      <c r="L120" s="16"/>
      <c r="M120" s="16"/>
      <c r="N120" s="16"/>
      <c r="O120" s="104"/>
      <c r="P120" s="16"/>
    </row>
    <row r="121" spans="1:16" x14ac:dyDescent="0.3">
      <c r="A121" s="208" t="s">
        <v>40</v>
      </c>
      <c r="B121" s="209"/>
      <c r="C121" s="210"/>
      <c r="D121" s="19">
        <v>310500000000000</v>
      </c>
      <c r="E121" s="105"/>
      <c r="F121" s="105"/>
      <c r="G121" s="105"/>
      <c r="H121" s="106"/>
      <c r="I121" s="107"/>
      <c r="J121" s="108"/>
      <c r="K121" s="108"/>
      <c r="L121" s="108"/>
      <c r="M121" s="108"/>
      <c r="N121" s="108"/>
      <c r="O121" s="103"/>
      <c r="P121" s="108"/>
    </row>
    <row r="122" spans="1:16" x14ac:dyDescent="0.3">
      <c r="A122" s="233" t="s">
        <v>86</v>
      </c>
      <c r="B122" s="234"/>
      <c r="C122" s="235"/>
      <c r="D122" s="87"/>
      <c r="E122" s="82"/>
      <c r="F122" s="82"/>
      <c r="G122" s="82"/>
      <c r="H122" s="83"/>
      <c r="I122" s="93"/>
      <c r="J122" s="87"/>
      <c r="K122" s="87"/>
      <c r="L122" s="87"/>
      <c r="M122" s="87"/>
      <c r="N122" s="87"/>
      <c r="O122" s="103"/>
      <c r="P122" s="87"/>
    </row>
    <row r="123" spans="1:16" s="10" customFormat="1" ht="28.25" customHeight="1" x14ac:dyDescent="0.35">
      <c r="A123" s="227" t="s">
        <v>96</v>
      </c>
      <c r="B123" s="228"/>
      <c r="C123" s="229"/>
      <c r="D123" s="12"/>
      <c r="E123" s="98"/>
      <c r="F123" s="98"/>
      <c r="G123" s="98"/>
      <c r="H123" s="68"/>
      <c r="I123" s="98" t="e">
        <f>AVERAGE(E123:H123)</f>
        <v>#DIV/0!</v>
      </c>
      <c r="J123" s="12" t="s">
        <v>170</v>
      </c>
      <c r="K123" s="12"/>
      <c r="L123" s="12"/>
      <c r="M123" s="12"/>
      <c r="N123" s="12" t="e">
        <f>AVERAGE(J123:M123)</f>
        <v>#DIV/0!</v>
      </c>
      <c r="O123" s="71" t="e">
        <f t="shared" si="12"/>
        <v>#DIV/0!</v>
      </c>
      <c r="P123" s="12"/>
    </row>
    <row r="124" spans="1:16" s="10" customFormat="1" ht="15.5" customHeight="1" x14ac:dyDescent="0.35">
      <c r="A124" s="72"/>
      <c r="B124" s="73"/>
      <c r="C124" s="74" t="s">
        <v>109</v>
      </c>
      <c r="D124" s="12"/>
      <c r="E124" s="98"/>
      <c r="F124" s="98"/>
      <c r="G124" s="98"/>
      <c r="H124" s="68"/>
      <c r="I124" s="98" t="e">
        <f>AVERAGE(E124:H124)</f>
        <v>#DIV/0!</v>
      </c>
      <c r="J124" s="71">
        <v>1</v>
      </c>
      <c r="K124" s="12"/>
      <c r="L124" s="12"/>
      <c r="M124" s="12"/>
      <c r="N124" s="12">
        <f>AVERAGE(J124:M124)</f>
        <v>1</v>
      </c>
      <c r="O124" s="71" t="e">
        <f t="shared" si="12"/>
        <v>#DIV/0!</v>
      </c>
      <c r="P124" s="12"/>
    </row>
    <row r="125" spans="1:16" s="10" customFormat="1" ht="15.5" customHeight="1" x14ac:dyDescent="0.35">
      <c r="A125" s="72"/>
      <c r="B125" s="73"/>
      <c r="C125" s="75" t="s">
        <v>110</v>
      </c>
      <c r="D125" s="12"/>
      <c r="E125" s="12"/>
      <c r="F125" s="12"/>
      <c r="G125" s="12"/>
      <c r="H125" s="26"/>
      <c r="I125" s="52" t="e">
        <f>AVERAGE(E125:H125)</f>
        <v>#DIV/0!</v>
      </c>
      <c r="J125" s="12">
        <f>SUM(J126:J128)</f>
        <v>85</v>
      </c>
      <c r="K125" s="12"/>
      <c r="L125" s="12"/>
      <c r="M125" s="12"/>
      <c r="N125" s="12">
        <f t="shared" ref="N125:N128" si="19">AVERAGE(J125:M125)</f>
        <v>85</v>
      </c>
      <c r="O125" s="71" t="e">
        <f t="shared" si="12"/>
        <v>#DIV/0!</v>
      </c>
      <c r="P125" s="12"/>
    </row>
    <row r="126" spans="1:16" s="10" customFormat="1" ht="15.5" customHeight="1" x14ac:dyDescent="0.35">
      <c r="A126" s="72"/>
      <c r="B126" s="73"/>
      <c r="C126" s="75" t="s">
        <v>56</v>
      </c>
      <c r="D126" s="12"/>
      <c r="E126" s="12"/>
      <c r="F126" s="12"/>
      <c r="G126" s="12"/>
      <c r="H126" s="26"/>
      <c r="I126" s="52" t="e">
        <f t="shared" ref="I126:I128" si="20">AVERAGE(E126:H126)</f>
        <v>#DIV/0!</v>
      </c>
      <c r="J126" s="12">
        <v>57</v>
      </c>
      <c r="K126" s="12"/>
      <c r="L126" s="12"/>
      <c r="M126" s="12"/>
      <c r="N126" s="12">
        <f t="shared" si="19"/>
        <v>57</v>
      </c>
      <c r="O126" s="71" t="e">
        <f t="shared" si="12"/>
        <v>#DIV/0!</v>
      </c>
      <c r="P126" s="12"/>
    </row>
    <row r="127" spans="1:16" s="10" customFormat="1" ht="15.5" customHeight="1" x14ac:dyDescent="0.35">
      <c r="A127" s="72"/>
      <c r="B127" s="73"/>
      <c r="C127" s="75" t="s">
        <v>57</v>
      </c>
      <c r="D127" s="12"/>
      <c r="E127" s="12"/>
      <c r="F127" s="12"/>
      <c r="G127" s="12"/>
      <c r="H127" s="26"/>
      <c r="I127" s="52" t="e">
        <f t="shared" si="20"/>
        <v>#DIV/0!</v>
      </c>
      <c r="J127" s="12">
        <v>15</v>
      </c>
      <c r="K127" s="12"/>
      <c r="L127" s="12"/>
      <c r="M127" s="12"/>
      <c r="N127" s="12">
        <f t="shared" si="19"/>
        <v>15</v>
      </c>
      <c r="O127" s="71" t="e">
        <f t="shared" si="12"/>
        <v>#DIV/0!</v>
      </c>
      <c r="P127" s="12"/>
    </row>
    <row r="128" spans="1:16" s="10" customFormat="1" ht="15.5" customHeight="1" x14ac:dyDescent="0.35">
      <c r="A128" s="72"/>
      <c r="B128" s="73"/>
      <c r="C128" s="75" t="s">
        <v>58</v>
      </c>
      <c r="D128" s="12"/>
      <c r="E128" s="12"/>
      <c r="F128" s="12"/>
      <c r="G128" s="12"/>
      <c r="H128" s="26"/>
      <c r="I128" s="52" t="e">
        <f t="shared" si="20"/>
        <v>#DIV/0!</v>
      </c>
      <c r="J128" s="12">
        <v>13</v>
      </c>
      <c r="K128" s="12"/>
      <c r="L128" s="12"/>
      <c r="M128" s="12"/>
      <c r="N128" s="12">
        <f t="shared" si="19"/>
        <v>13</v>
      </c>
      <c r="O128" s="71" t="e">
        <f t="shared" si="12"/>
        <v>#DIV/0!</v>
      </c>
      <c r="P128" s="12"/>
    </row>
    <row r="129" spans="1:16" s="10" customFormat="1" ht="15.5" customHeight="1" x14ac:dyDescent="0.35">
      <c r="A129" s="72"/>
      <c r="B129" s="73"/>
      <c r="C129" s="74"/>
      <c r="D129" s="12"/>
      <c r="E129" s="12"/>
      <c r="F129" s="12"/>
      <c r="G129" s="12"/>
      <c r="H129" s="26"/>
      <c r="I129" s="52"/>
      <c r="J129" s="12"/>
      <c r="K129" s="12"/>
      <c r="L129" s="12"/>
      <c r="M129" s="12"/>
      <c r="N129" s="12"/>
      <c r="O129" s="71"/>
      <c r="P129" s="12"/>
    </row>
    <row r="130" spans="1:16" x14ac:dyDescent="0.3">
      <c r="A130" s="224" t="s">
        <v>59</v>
      </c>
      <c r="B130" s="225"/>
      <c r="C130" s="226"/>
      <c r="D130" s="87"/>
      <c r="E130" s="82"/>
      <c r="F130" s="82"/>
      <c r="G130" s="82"/>
      <c r="H130" s="83"/>
      <c r="I130" s="93"/>
      <c r="J130" s="87"/>
      <c r="K130" s="87"/>
      <c r="L130" s="87"/>
      <c r="M130" s="87"/>
      <c r="N130" s="87"/>
      <c r="O130" s="103"/>
      <c r="P130" s="87"/>
    </row>
    <row r="131" spans="1:16" ht="31.25" customHeight="1" x14ac:dyDescent="0.3">
      <c r="A131" s="227" t="s">
        <v>97</v>
      </c>
      <c r="B131" s="228"/>
      <c r="C131" s="229"/>
      <c r="D131" s="16"/>
      <c r="E131" s="12"/>
      <c r="F131" s="12"/>
      <c r="G131" s="12"/>
      <c r="H131" s="26"/>
      <c r="I131" s="12"/>
      <c r="J131" s="16">
        <f>SUM(J132:J133)</f>
        <v>308</v>
      </c>
      <c r="K131" s="16"/>
      <c r="L131" s="16"/>
      <c r="M131" s="16"/>
      <c r="N131" s="12"/>
      <c r="O131" s="12"/>
      <c r="P131" s="16"/>
    </row>
    <row r="132" spans="1:16" ht="14.5" customHeight="1" x14ac:dyDescent="0.3">
      <c r="A132" s="227" t="s">
        <v>113</v>
      </c>
      <c r="B132" s="228"/>
      <c r="C132" s="229"/>
      <c r="D132" s="16"/>
      <c r="E132" s="12"/>
      <c r="F132" s="12"/>
      <c r="G132" s="12"/>
      <c r="H132" s="26"/>
      <c r="I132" s="12">
        <f>SUM(E132:H132)</f>
        <v>0</v>
      </c>
      <c r="J132" s="16">
        <v>135</v>
      </c>
      <c r="K132" s="16"/>
      <c r="L132" s="16"/>
      <c r="M132" s="16"/>
      <c r="N132" s="12">
        <f>SUM(J132:M132)</f>
        <v>135</v>
      </c>
      <c r="O132" s="12">
        <f t="shared" ref="O132:O134" si="21">N132-I132</f>
        <v>135</v>
      </c>
      <c r="P132" s="16"/>
    </row>
    <row r="133" spans="1:16" ht="14.5" customHeight="1" x14ac:dyDescent="0.3">
      <c r="A133" s="227" t="s">
        <v>114</v>
      </c>
      <c r="B133" s="228"/>
      <c r="C133" s="229"/>
      <c r="D133" s="16"/>
      <c r="E133" s="12"/>
      <c r="F133" s="12"/>
      <c r="G133" s="12"/>
      <c r="H133" s="26"/>
      <c r="I133" s="12">
        <f>SUM(E133:H133)</f>
        <v>0</v>
      </c>
      <c r="J133" s="16">
        <v>173</v>
      </c>
      <c r="K133" s="16"/>
      <c r="L133" s="16"/>
      <c r="M133" s="16"/>
      <c r="N133" s="12">
        <f>SUM(J133:M133)</f>
        <v>173</v>
      </c>
      <c r="O133" s="12">
        <f t="shared" si="21"/>
        <v>173</v>
      </c>
      <c r="P133" s="16"/>
    </row>
    <row r="134" spans="1:16" ht="14.5" customHeight="1" x14ac:dyDescent="0.3">
      <c r="A134" s="227" t="s">
        <v>115</v>
      </c>
      <c r="B134" s="228"/>
      <c r="C134" s="229"/>
      <c r="D134" s="16"/>
      <c r="E134" s="12"/>
      <c r="F134" s="12"/>
      <c r="G134" s="12"/>
      <c r="H134" s="26"/>
      <c r="I134" s="12">
        <f>SUM(E134:H134)</f>
        <v>0</v>
      </c>
      <c r="J134" s="16">
        <v>228</v>
      </c>
      <c r="K134" s="16"/>
      <c r="L134" s="16"/>
      <c r="M134" s="16"/>
      <c r="N134" s="12">
        <f>SUM(J134:M134)</f>
        <v>228</v>
      </c>
      <c r="O134" s="12">
        <f t="shared" si="21"/>
        <v>228</v>
      </c>
      <c r="P134" s="16"/>
    </row>
    <row r="135" spans="1:16" ht="14.5" customHeight="1" x14ac:dyDescent="0.3">
      <c r="A135" s="240"/>
      <c r="B135" s="241"/>
      <c r="C135" s="242"/>
      <c r="D135" s="110"/>
      <c r="E135" s="111"/>
      <c r="F135" s="111"/>
      <c r="G135" s="111"/>
      <c r="H135" s="112"/>
      <c r="I135" s="111"/>
      <c r="J135" s="110"/>
      <c r="K135" s="110"/>
      <c r="L135" s="110"/>
      <c r="M135" s="110"/>
      <c r="N135" s="111"/>
      <c r="O135" s="111"/>
      <c r="P135" s="110"/>
    </row>
    <row r="136" spans="1:16" x14ac:dyDescent="0.3">
      <c r="A136" s="215"/>
      <c r="B136" s="215"/>
      <c r="C136" s="215"/>
    </row>
    <row r="137" spans="1:16" x14ac:dyDescent="0.3">
      <c r="A137" s="268" t="s">
        <v>34</v>
      </c>
      <c r="B137" s="268"/>
      <c r="C137" s="268"/>
      <c r="H137" s="268" t="s">
        <v>35</v>
      </c>
      <c r="I137" s="268"/>
      <c r="J137" s="268"/>
      <c r="M137" s="268" t="s">
        <v>14</v>
      </c>
      <c r="N137" s="268"/>
      <c r="O137" s="268"/>
    </row>
    <row r="138" spans="1:16" x14ac:dyDescent="0.3">
      <c r="A138" s="215"/>
      <c r="B138" s="215"/>
      <c r="C138" s="215"/>
      <c r="H138" s="215"/>
      <c r="I138" s="215"/>
      <c r="J138" s="215"/>
      <c r="M138" s="215"/>
      <c r="N138" s="215"/>
      <c r="O138" s="215"/>
    </row>
    <row r="139" spans="1:16" x14ac:dyDescent="0.3">
      <c r="A139" s="307"/>
      <c r="B139" s="307"/>
      <c r="C139" s="307"/>
      <c r="H139" s="307"/>
      <c r="I139" s="307"/>
      <c r="J139" s="307"/>
      <c r="M139" s="307"/>
      <c r="N139" s="307"/>
      <c r="O139" s="307"/>
    </row>
    <row r="140" spans="1:16" x14ac:dyDescent="0.3">
      <c r="A140" s="209"/>
      <c r="B140" s="209"/>
      <c r="C140" s="209"/>
      <c r="H140" s="209"/>
      <c r="I140" s="209"/>
      <c r="J140" s="209"/>
      <c r="M140" s="1" t="s">
        <v>33</v>
      </c>
      <c r="N140" s="1"/>
      <c r="O140" s="1"/>
      <c r="P140" s="3"/>
    </row>
    <row r="141" spans="1:16" x14ac:dyDescent="0.3">
      <c r="A141" s="267" t="s">
        <v>13</v>
      </c>
      <c r="B141" s="267"/>
      <c r="C141" s="267"/>
      <c r="H141" s="30" t="s">
        <v>13</v>
      </c>
      <c r="M141" s="267" t="s">
        <v>13</v>
      </c>
      <c r="N141" s="267"/>
      <c r="O141" s="267"/>
      <c r="P141" s="267"/>
    </row>
  </sheetData>
  <mergeCells count="117">
    <mergeCell ref="O1:P1"/>
    <mergeCell ref="O2:P2"/>
    <mergeCell ref="E4:J4"/>
    <mergeCell ref="E5:J5"/>
    <mergeCell ref="C8:D8"/>
    <mergeCell ref="C9:D9"/>
    <mergeCell ref="O13:O14"/>
    <mergeCell ref="P13:P14"/>
    <mergeCell ref="A15:C15"/>
    <mergeCell ref="A16:C16"/>
    <mergeCell ref="A17:C17"/>
    <mergeCell ref="A18:C18"/>
    <mergeCell ref="C10:D10"/>
    <mergeCell ref="C11:D11"/>
    <mergeCell ref="A13:C14"/>
    <mergeCell ref="D13:D14"/>
    <mergeCell ref="E13:I13"/>
    <mergeCell ref="J13:N13"/>
    <mergeCell ref="A28:C28"/>
    <mergeCell ref="A29:C29"/>
    <mergeCell ref="A30:C30"/>
    <mergeCell ref="A31:C31"/>
    <mergeCell ref="A32:C32"/>
    <mergeCell ref="A36:C36"/>
    <mergeCell ref="A19:C19"/>
    <mergeCell ref="A21:C21"/>
    <mergeCell ref="A23:C23"/>
    <mergeCell ref="A24:C24"/>
    <mergeCell ref="A25:C25"/>
    <mergeCell ref="A27:C27"/>
    <mergeCell ref="A50:C50"/>
    <mergeCell ref="A52:C52"/>
    <mergeCell ref="A55:C55"/>
    <mergeCell ref="A56:C56"/>
    <mergeCell ref="A58:C58"/>
    <mergeCell ref="A60:C60"/>
    <mergeCell ref="A38:C38"/>
    <mergeCell ref="A41:C41"/>
    <mergeCell ref="A42:C42"/>
    <mergeCell ref="A44:C44"/>
    <mergeCell ref="A46:C46"/>
    <mergeCell ref="A48:C48"/>
    <mergeCell ref="A69:C69"/>
    <mergeCell ref="A70:C70"/>
    <mergeCell ref="A71:C71"/>
    <mergeCell ref="A72:C72"/>
    <mergeCell ref="A73:C73"/>
    <mergeCell ref="A74:C74"/>
    <mergeCell ref="A62:C62"/>
    <mergeCell ref="A63:C63"/>
    <mergeCell ref="A64:C64"/>
    <mergeCell ref="A65:C65"/>
    <mergeCell ref="A66:C66"/>
    <mergeCell ref="A67:C67"/>
    <mergeCell ref="A83:C83"/>
    <mergeCell ref="A85:C85"/>
    <mergeCell ref="A87:C87"/>
    <mergeCell ref="A88:C88"/>
    <mergeCell ref="A89:C89"/>
    <mergeCell ref="A90:C90"/>
    <mergeCell ref="A75:C75"/>
    <mergeCell ref="A76:C76"/>
    <mergeCell ref="A77:C77"/>
    <mergeCell ref="A78:C78"/>
    <mergeCell ref="A79:C79"/>
    <mergeCell ref="A81:C81"/>
    <mergeCell ref="A97:C97"/>
    <mergeCell ref="A98:C98"/>
    <mergeCell ref="A99:C99"/>
    <mergeCell ref="A100:C100"/>
    <mergeCell ref="A101:C101"/>
    <mergeCell ref="A102:C102"/>
    <mergeCell ref="A91:C91"/>
    <mergeCell ref="A92:C92"/>
    <mergeCell ref="A93:C93"/>
    <mergeCell ref="A94:C94"/>
    <mergeCell ref="A95:C95"/>
    <mergeCell ref="A96:C96"/>
    <mergeCell ref="A109:C109"/>
    <mergeCell ref="A111:C111"/>
    <mergeCell ref="A112:C112"/>
    <mergeCell ref="A113:C113"/>
    <mergeCell ref="A114:C114"/>
    <mergeCell ref="A116:C116"/>
    <mergeCell ref="A103:C103"/>
    <mergeCell ref="A104:C104"/>
    <mergeCell ref="A105:C105"/>
    <mergeCell ref="A106:C106"/>
    <mergeCell ref="A107:C107"/>
    <mergeCell ref="A108:C108"/>
    <mergeCell ref="A123:C123"/>
    <mergeCell ref="A130:C130"/>
    <mergeCell ref="A131:C131"/>
    <mergeCell ref="A132:C132"/>
    <mergeCell ref="A133:C133"/>
    <mergeCell ref="A134:C134"/>
    <mergeCell ref="A117:C117"/>
    <mergeCell ref="A118:C118"/>
    <mergeCell ref="A119:C119"/>
    <mergeCell ref="A120:C120"/>
    <mergeCell ref="A121:C121"/>
    <mergeCell ref="A122:C122"/>
    <mergeCell ref="A139:C139"/>
    <mergeCell ref="H139:J139"/>
    <mergeCell ref="M139:O139"/>
    <mergeCell ref="A140:C140"/>
    <mergeCell ref="H140:J140"/>
    <mergeCell ref="A141:C141"/>
    <mergeCell ref="M141:P141"/>
    <mergeCell ref="A135:C135"/>
    <mergeCell ref="A136:C136"/>
    <mergeCell ref="A137:C137"/>
    <mergeCell ref="H137:J137"/>
    <mergeCell ref="M137:O137"/>
    <mergeCell ref="A138:C138"/>
    <mergeCell ref="H138:J138"/>
    <mergeCell ref="M138:O138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F269-E0C6-4201-98E4-9B6AFE206248}">
  <dimension ref="A1:P141"/>
  <sheetViews>
    <sheetView topLeftCell="D58" zoomScale="92" zoomScaleNormal="90" workbookViewId="0">
      <selection activeCell="J65" sqref="J65:K66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120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ht="13.5" thickBot="1" x14ac:dyDescent="0.35">
      <c r="A15" s="272">
        <v>1</v>
      </c>
      <c r="B15" s="272"/>
      <c r="C15" s="272"/>
      <c r="D15" s="6">
        <v>2</v>
      </c>
      <c r="E15" s="6">
        <v>3</v>
      </c>
      <c r="F15" s="6">
        <v>4</v>
      </c>
      <c r="G15" s="6">
        <v>5</v>
      </c>
      <c r="H15" s="7">
        <v>6</v>
      </c>
      <c r="I15" s="6" t="s">
        <v>21</v>
      </c>
      <c r="J15" s="6">
        <v>8</v>
      </c>
      <c r="K15" s="6">
        <v>9</v>
      </c>
      <c r="L15" s="6">
        <v>10</v>
      </c>
      <c r="M15" s="6">
        <v>11</v>
      </c>
      <c r="N15" s="6" t="s">
        <v>22</v>
      </c>
      <c r="O15" s="6">
        <v>13</v>
      </c>
      <c r="P15" s="6">
        <v>14</v>
      </c>
    </row>
    <row r="16" spans="1:16" ht="40.25" customHeight="1" x14ac:dyDescent="0.3">
      <c r="A16" s="285" t="s">
        <v>36</v>
      </c>
      <c r="B16" s="286"/>
      <c r="C16" s="287"/>
      <c r="D16" s="8"/>
      <c r="E16" s="33"/>
      <c r="F16" s="33"/>
      <c r="G16" s="33"/>
      <c r="H16" s="28"/>
      <c r="I16" s="50"/>
      <c r="J16" s="8"/>
      <c r="K16" s="8"/>
      <c r="L16" s="8"/>
      <c r="M16" s="8"/>
      <c r="N16" s="8"/>
      <c r="O16" s="8"/>
      <c r="P16" s="8"/>
    </row>
    <row r="17" spans="1:16" ht="13.25" customHeight="1" x14ac:dyDescent="0.3">
      <c r="A17" s="275" t="s">
        <v>37</v>
      </c>
      <c r="B17" s="276"/>
      <c r="C17" s="277"/>
      <c r="D17" s="20">
        <v>310100000000000</v>
      </c>
      <c r="E17" s="34"/>
      <c r="F17" s="34"/>
      <c r="G17" s="34"/>
      <c r="H17" s="29"/>
      <c r="I17" s="51"/>
      <c r="J17" s="9"/>
      <c r="K17" s="9"/>
      <c r="L17" s="9"/>
      <c r="M17" s="9"/>
      <c r="N17" s="9"/>
      <c r="O17" s="9"/>
      <c r="P17" s="9"/>
    </row>
    <row r="18" spans="1:16" x14ac:dyDescent="0.3">
      <c r="A18" s="314" t="s">
        <v>38</v>
      </c>
      <c r="B18" s="315"/>
      <c r="C18" s="316"/>
      <c r="D18" s="11"/>
      <c r="E18" s="82"/>
      <c r="F18" s="82"/>
      <c r="G18" s="82"/>
      <c r="H18" s="83"/>
      <c r="I18" s="93"/>
      <c r="J18" s="87"/>
      <c r="K18" s="87"/>
      <c r="L18" s="87"/>
      <c r="M18" s="87"/>
      <c r="N18" s="87"/>
      <c r="O18" s="87"/>
      <c r="P18" s="87"/>
    </row>
    <row r="19" spans="1:16" s="25" customFormat="1" ht="30" customHeight="1" x14ac:dyDescent="0.35">
      <c r="A19" s="252" t="s">
        <v>43</v>
      </c>
      <c r="B19" s="253"/>
      <c r="C19" s="254"/>
      <c r="D19" s="24"/>
      <c r="E19" s="76"/>
      <c r="F19" s="76"/>
      <c r="G19" s="76"/>
      <c r="H19" s="77"/>
      <c r="I19" s="78" t="e">
        <f>AVERAGE(E19:H19)</f>
        <v>#DIV/0!</v>
      </c>
      <c r="J19" s="97" t="s">
        <v>170</v>
      </c>
      <c r="K19" s="97"/>
      <c r="L19" s="97"/>
      <c r="M19" s="97"/>
      <c r="N19" s="98" t="e">
        <f>AVERAGE(J19:M19)</f>
        <v>#DIV/0!</v>
      </c>
      <c r="O19" s="71" t="e">
        <f>N19-I19</f>
        <v>#DIV/0!</v>
      </c>
      <c r="P19" s="24"/>
    </row>
    <row r="20" spans="1:16" s="25" customFormat="1" ht="19.75" customHeight="1" x14ac:dyDescent="0.35">
      <c r="A20" s="21"/>
      <c r="B20" s="22"/>
      <c r="C20" s="23"/>
      <c r="D20" s="24"/>
      <c r="E20" s="12"/>
      <c r="F20" s="12"/>
      <c r="G20" s="12"/>
      <c r="H20" s="54"/>
      <c r="I20" s="53"/>
      <c r="J20" s="24"/>
      <c r="K20" s="24"/>
      <c r="L20" s="24"/>
      <c r="M20" s="24"/>
      <c r="N20" s="24"/>
      <c r="O20" s="71"/>
      <c r="P20" s="24"/>
    </row>
    <row r="21" spans="1:16" s="25" customFormat="1" ht="14" customHeight="1" x14ac:dyDescent="0.35">
      <c r="A21" s="252" t="s">
        <v>44</v>
      </c>
      <c r="B21" s="253"/>
      <c r="C21" s="254"/>
      <c r="D21" s="24"/>
      <c r="E21" s="76"/>
      <c r="F21" s="76"/>
      <c r="G21" s="76"/>
      <c r="H21" s="77"/>
      <c r="I21" s="79" t="e">
        <f>AVERAGE(E21:H21)</f>
        <v>#DIV/0!</v>
      </c>
      <c r="J21" s="24" t="s">
        <v>170</v>
      </c>
      <c r="K21" s="24"/>
      <c r="L21" s="24"/>
      <c r="M21" s="24"/>
      <c r="N21" s="12" t="e">
        <f>AVERAGE(J21:M21)</f>
        <v>#DIV/0!</v>
      </c>
      <c r="O21" s="71" t="e">
        <f t="shared" ref="O21:O84" si="0">N21-I21</f>
        <v>#DIV/0!</v>
      </c>
      <c r="P21" s="24"/>
    </row>
    <row r="22" spans="1:16" s="25" customFormat="1" ht="14" customHeight="1" x14ac:dyDescent="0.35">
      <c r="A22" s="21"/>
      <c r="B22" s="22"/>
      <c r="C22" s="23"/>
      <c r="D22" s="24"/>
      <c r="E22" s="12"/>
      <c r="F22" s="12"/>
      <c r="G22" s="12"/>
      <c r="H22" s="31"/>
      <c r="I22" s="52"/>
      <c r="J22" s="24"/>
      <c r="K22" s="24"/>
      <c r="L22" s="24"/>
      <c r="M22" s="24"/>
      <c r="N22" s="24"/>
      <c r="O22" s="71"/>
      <c r="P22" s="24"/>
    </row>
    <row r="23" spans="1:16" x14ac:dyDescent="0.3">
      <c r="A23" s="288" t="s">
        <v>39</v>
      </c>
      <c r="B23" s="289"/>
      <c r="C23" s="290"/>
      <c r="D23" s="11"/>
      <c r="E23" s="82"/>
      <c r="F23" s="82"/>
      <c r="G23" s="82"/>
      <c r="H23" s="83"/>
      <c r="I23" s="93"/>
      <c r="J23" s="87"/>
      <c r="K23" s="87"/>
      <c r="L23" s="87"/>
      <c r="M23" s="87"/>
      <c r="N23" s="87"/>
      <c r="O23" s="103"/>
      <c r="P23" s="87"/>
    </row>
    <row r="24" spans="1:16" x14ac:dyDescent="0.3">
      <c r="A24" s="291" t="s">
        <v>55</v>
      </c>
      <c r="B24" s="292"/>
      <c r="C24" s="293"/>
      <c r="D24" s="11"/>
      <c r="E24" s="76"/>
      <c r="F24" s="76"/>
      <c r="G24" s="76"/>
      <c r="H24" s="80"/>
      <c r="I24" s="81">
        <f>SUM(E24:H24)</f>
        <v>0</v>
      </c>
      <c r="J24" s="16" t="s">
        <v>170</v>
      </c>
      <c r="K24" s="11"/>
      <c r="L24" s="11"/>
      <c r="M24" s="11"/>
      <c r="N24" s="12">
        <f>SUM(J24:M24)</f>
        <v>0</v>
      </c>
      <c r="O24" s="12">
        <f t="shared" si="0"/>
        <v>0</v>
      </c>
      <c r="P24" s="11"/>
    </row>
    <row r="25" spans="1:16" x14ac:dyDescent="0.3">
      <c r="A25" s="291" t="s">
        <v>53</v>
      </c>
      <c r="B25" s="292"/>
      <c r="C25" s="293"/>
      <c r="D25" s="11"/>
      <c r="E25" s="12"/>
      <c r="F25" s="12"/>
      <c r="G25" s="12"/>
      <c r="H25" s="26"/>
      <c r="I25" s="55">
        <f>SUM(E25:H25)</f>
        <v>0</v>
      </c>
      <c r="J25" s="16" t="s">
        <v>170</v>
      </c>
      <c r="K25" s="11"/>
      <c r="L25" s="11"/>
      <c r="M25" s="11"/>
      <c r="N25" s="12">
        <f t="shared" ref="N25:N26" si="1">SUM(J25:M25)</f>
        <v>0</v>
      </c>
      <c r="O25" s="12">
        <f t="shared" si="0"/>
        <v>0</v>
      </c>
      <c r="P25" s="11"/>
    </row>
    <row r="26" spans="1:16" x14ac:dyDescent="0.3">
      <c r="A26" s="17"/>
      <c r="B26" s="18"/>
      <c r="C26" s="35" t="s">
        <v>45</v>
      </c>
      <c r="D26" s="11"/>
      <c r="E26" s="12"/>
      <c r="F26" s="12"/>
      <c r="G26" s="12"/>
      <c r="H26" s="26"/>
      <c r="I26" s="55">
        <f>SUM(E26:H26)</f>
        <v>0</v>
      </c>
      <c r="J26" s="16">
        <v>4</v>
      </c>
      <c r="K26" s="11"/>
      <c r="L26" s="11"/>
      <c r="M26" s="11"/>
      <c r="N26" s="12">
        <f t="shared" si="1"/>
        <v>4</v>
      </c>
      <c r="O26" s="12">
        <f t="shared" si="0"/>
        <v>4</v>
      </c>
      <c r="P26" s="11"/>
    </row>
    <row r="27" spans="1:16" x14ac:dyDescent="0.3">
      <c r="A27" s="291" t="s">
        <v>54</v>
      </c>
      <c r="B27" s="292"/>
      <c r="C27" s="293"/>
      <c r="D27" s="11"/>
      <c r="E27" s="76"/>
      <c r="F27" s="76"/>
      <c r="G27" s="76"/>
      <c r="H27" s="80"/>
      <c r="I27" s="81">
        <f>SUM(E27:H27)</f>
        <v>0</v>
      </c>
      <c r="J27" s="16" t="s">
        <v>170</v>
      </c>
      <c r="K27" s="11"/>
      <c r="L27" s="11"/>
      <c r="M27" s="11"/>
      <c r="N27" s="12">
        <f>SUM(J27:M27)</f>
        <v>0</v>
      </c>
      <c r="O27" s="12">
        <f t="shared" si="0"/>
        <v>0</v>
      </c>
      <c r="P27" s="11"/>
    </row>
    <row r="28" spans="1:16" x14ac:dyDescent="0.3">
      <c r="A28" s="214"/>
      <c r="B28" s="215"/>
      <c r="C28" s="216"/>
      <c r="D28" s="11"/>
      <c r="E28" s="12"/>
      <c r="F28" s="12"/>
      <c r="G28" s="12"/>
      <c r="H28" s="26"/>
      <c r="I28" s="13"/>
      <c r="J28" s="11"/>
      <c r="K28" s="11"/>
      <c r="L28" s="11"/>
      <c r="M28" s="11"/>
      <c r="N28" s="11"/>
      <c r="O28" s="104"/>
      <c r="P28" s="11"/>
    </row>
    <row r="29" spans="1:16" x14ac:dyDescent="0.3">
      <c r="A29" s="208" t="s">
        <v>47</v>
      </c>
      <c r="B29" s="209"/>
      <c r="C29" s="210"/>
      <c r="D29" s="20">
        <v>310200000000000</v>
      </c>
      <c r="E29" s="34"/>
      <c r="F29" s="34"/>
      <c r="G29" s="34"/>
      <c r="H29" s="29"/>
      <c r="I29" s="51"/>
      <c r="J29" s="9"/>
      <c r="K29" s="9"/>
      <c r="L29" s="9"/>
      <c r="M29" s="9"/>
      <c r="N29" s="9"/>
      <c r="O29" s="71"/>
      <c r="P29" s="9"/>
    </row>
    <row r="30" spans="1:16" x14ac:dyDescent="0.3">
      <c r="A30" s="224" t="s">
        <v>48</v>
      </c>
      <c r="B30" s="225"/>
      <c r="C30" s="226"/>
      <c r="D30" s="11"/>
      <c r="E30" s="82"/>
      <c r="F30" s="82"/>
      <c r="G30" s="82"/>
      <c r="H30" s="83"/>
      <c r="I30" s="93"/>
      <c r="J30" s="87"/>
      <c r="K30" s="87"/>
      <c r="L30" s="87"/>
      <c r="M30" s="87"/>
      <c r="N30" s="87"/>
      <c r="O30" s="103"/>
      <c r="P30" s="87"/>
    </row>
    <row r="31" spans="1:16" s="10" customFormat="1" ht="31.75" customHeight="1" x14ac:dyDescent="0.3">
      <c r="A31" s="252" t="s">
        <v>49</v>
      </c>
      <c r="B31" s="253"/>
      <c r="C31" s="254"/>
      <c r="D31" s="16"/>
      <c r="E31" s="82"/>
      <c r="F31" s="82"/>
      <c r="G31" s="82"/>
      <c r="H31" s="83"/>
      <c r="I31" s="86"/>
      <c r="J31" s="86"/>
      <c r="K31" s="86"/>
      <c r="L31" s="86"/>
      <c r="M31" s="86"/>
      <c r="N31" s="86"/>
      <c r="O31" s="103"/>
      <c r="P31" s="86"/>
    </row>
    <row r="32" spans="1:16" ht="15.5" customHeight="1" x14ac:dyDescent="0.3">
      <c r="A32" s="211" t="s">
        <v>25</v>
      </c>
      <c r="B32" s="212"/>
      <c r="C32" s="213"/>
      <c r="D32" s="11"/>
      <c r="E32" s="82"/>
      <c r="F32" s="36"/>
      <c r="G32" s="82"/>
      <c r="H32" s="83"/>
      <c r="I32" s="92">
        <f>F32</f>
        <v>0</v>
      </c>
      <c r="J32" s="82"/>
      <c r="K32" s="36"/>
      <c r="L32" s="82"/>
      <c r="M32" s="83"/>
      <c r="N32" s="92">
        <f>K32</f>
        <v>0</v>
      </c>
      <c r="O32" s="71">
        <f t="shared" si="0"/>
        <v>0</v>
      </c>
      <c r="P32" s="11"/>
    </row>
    <row r="33" spans="1:16" ht="15.5" customHeight="1" x14ac:dyDescent="0.3">
      <c r="A33" s="14"/>
      <c r="B33" s="3"/>
      <c r="C33" s="15" t="s">
        <v>108</v>
      </c>
      <c r="D33" s="11"/>
      <c r="E33" s="82"/>
      <c r="F33" s="12"/>
      <c r="G33" s="82"/>
      <c r="H33" s="83"/>
      <c r="I33" s="13">
        <f t="shared" ref="I33:I39" si="2">F33</f>
        <v>0</v>
      </c>
      <c r="J33" s="82"/>
      <c r="K33" s="12"/>
      <c r="L33" s="82"/>
      <c r="M33" s="83"/>
      <c r="N33" s="13">
        <f t="shared" ref="N33:N39" si="3">K33</f>
        <v>0</v>
      </c>
      <c r="O33" s="12">
        <f t="shared" si="0"/>
        <v>0</v>
      </c>
      <c r="P33" s="11"/>
    </row>
    <row r="34" spans="1:16" ht="15.5" customHeight="1" x14ac:dyDescent="0.3">
      <c r="A34" s="14"/>
      <c r="B34" s="3"/>
      <c r="C34" s="70" t="s">
        <v>107</v>
      </c>
      <c r="D34" s="11"/>
      <c r="E34" s="82"/>
      <c r="F34" s="36"/>
      <c r="G34" s="82"/>
      <c r="H34" s="83"/>
      <c r="I34" s="92">
        <f t="shared" si="2"/>
        <v>0</v>
      </c>
      <c r="J34" s="82"/>
      <c r="K34" s="36"/>
      <c r="L34" s="82"/>
      <c r="M34" s="83"/>
      <c r="N34" s="92">
        <f t="shared" si="3"/>
        <v>0</v>
      </c>
      <c r="O34" s="71">
        <f t="shared" si="0"/>
        <v>0</v>
      </c>
      <c r="P34" s="11"/>
    </row>
    <row r="35" spans="1:16" ht="15.5" customHeight="1" x14ac:dyDescent="0.3">
      <c r="A35" s="14"/>
      <c r="B35" s="3"/>
      <c r="C35" s="15" t="s">
        <v>108</v>
      </c>
      <c r="D35" s="11"/>
      <c r="E35" s="82"/>
      <c r="F35" s="12"/>
      <c r="G35" s="82"/>
      <c r="H35" s="83"/>
      <c r="I35" s="13">
        <f t="shared" si="2"/>
        <v>0</v>
      </c>
      <c r="J35" s="82"/>
      <c r="K35" s="36"/>
      <c r="L35" s="82"/>
      <c r="M35" s="83"/>
      <c r="N35" s="13">
        <f t="shared" si="3"/>
        <v>0</v>
      </c>
      <c r="O35" s="12">
        <f t="shared" si="0"/>
        <v>0</v>
      </c>
      <c r="P35" s="11"/>
    </row>
    <row r="36" spans="1:16" ht="15.5" customHeight="1" x14ac:dyDescent="0.3">
      <c r="A36" s="211" t="s">
        <v>26</v>
      </c>
      <c r="B36" s="212"/>
      <c r="C36" s="213"/>
      <c r="D36" s="11"/>
      <c r="E36" s="82"/>
      <c r="F36" s="36"/>
      <c r="G36" s="82"/>
      <c r="H36" s="83"/>
      <c r="I36" s="92">
        <f t="shared" si="2"/>
        <v>0</v>
      </c>
      <c r="J36" s="82"/>
      <c r="K36" s="36"/>
      <c r="L36" s="82"/>
      <c r="M36" s="83"/>
      <c r="N36" s="92">
        <f t="shared" si="3"/>
        <v>0</v>
      </c>
      <c r="O36" s="71">
        <f t="shared" si="0"/>
        <v>0</v>
      </c>
      <c r="P36" s="11"/>
    </row>
    <row r="37" spans="1:16" ht="15.5" customHeight="1" x14ac:dyDescent="0.3">
      <c r="A37" s="14"/>
      <c r="B37" s="3"/>
      <c r="C37" s="15" t="s">
        <v>108</v>
      </c>
      <c r="D37" s="11"/>
      <c r="E37" s="82"/>
      <c r="F37" s="12"/>
      <c r="G37" s="82"/>
      <c r="H37" s="83"/>
      <c r="I37" s="13">
        <f t="shared" si="2"/>
        <v>0</v>
      </c>
      <c r="J37" s="82"/>
      <c r="K37" s="12"/>
      <c r="L37" s="82"/>
      <c r="M37" s="83"/>
      <c r="N37" s="13">
        <f t="shared" si="3"/>
        <v>0</v>
      </c>
      <c r="O37" s="12">
        <f t="shared" si="0"/>
        <v>0</v>
      </c>
      <c r="P37" s="11"/>
    </row>
    <row r="38" spans="1:16" ht="15.5" customHeight="1" x14ac:dyDescent="0.3">
      <c r="A38" s="211" t="s">
        <v>27</v>
      </c>
      <c r="B38" s="212"/>
      <c r="C38" s="213"/>
      <c r="D38" s="11"/>
      <c r="E38" s="82"/>
      <c r="F38" s="36"/>
      <c r="G38" s="82"/>
      <c r="H38" s="83"/>
      <c r="I38" s="92">
        <f t="shared" si="2"/>
        <v>0</v>
      </c>
      <c r="J38" s="82"/>
      <c r="K38" s="36"/>
      <c r="L38" s="82"/>
      <c r="M38" s="83"/>
      <c r="N38" s="92">
        <f t="shared" si="3"/>
        <v>0</v>
      </c>
      <c r="O38" s="71">
        <f t="shared" si="0"/>
        <v>0</v>
      </c>
      <c r="P38" s="11"/>
    </row>
    <row r="39" spans="1:16" ht="15.5" customHeight="1" x14ac:dyDescent="0.3">
      <c r="A39" s="14"/>
      <c r="B39" s="3"/>
      <c r="C39" s="15" t="s">
        <v>108</v>
      </c>
      <c r="D39" s="11"/>
      <c r="E39" s="82"/>
      <c r="F39" s="12"/>
      <c r="G39" s="82"/>
      <c r="H39" s="83"/>
      <c r="I39" s="13">
        <f t="shared" si="2"/>
        <v>0</v>
      </c>
      <c r="J39" s="82"/>
      <c r="K39" s="12"/>
      <c r="L39" s="82"/>
      <c r="M39" s="83"/>
      <c r="N39" s="13">
        <f t="shared" si="3"/>
        <v>0</v>
      </c>
      <c r="O39" s="12">
        <f t="shared" si="0"/>
        <v>0</v>
      </c>
      <c r="P39" s="11"/>
    </row>
    <row r="40" spans="1:16" ht="15.5" customHeight="1" x14ac:dyDescent="0.3">
      <c r="A40" s="14"/>
      <c r="B40" s="3"/>
      <c r="C40" s="15"/>
      <c r="D40" s="11"/>
      <c r="E40" s="12"/>
      <c r="F40" s="12"/>
      <c r="G40" s="12"/>
      <c r="H40" s="26"/>
      <c r="I40" s="13"/>
      <c r="J40" s="12"/>
      <c r="K40" s="12"/>
      <c r="L40" s="12"/>
      <c r="M40" s="26"/>
      <c r="N40" s="13"/>
      <c r="O40" s="71"/>
      <c r="P40" s="11"/>
    </row>
    <row r="41" spans="1:16" ht="25.25" customHeight="1" x14ac:dyDescent="0.3">
      <c r="A41" s="243" t="s">
        <v>46</v>
      </c>
      <c r="B41" s="244"/>
      <c r="C41" s="245"/>
      <c r="D41" s="16"/>
      <c r="E41" s="82"/>
      <c r="F41" s="82"/>
      <c r="G41" s="82"/>
      <c r="H41" s="83"/>
      <c r="I41" s="86"/>
      <c r="J41" s="82"/>
      <c r="K41" s="82"/>
      <c r="L41" s="82"/>
      <c r="M41" s="83"/>
      <c r="N41" s="86"/>
      <c r="O41" s="103"/>
      <c r="P41" s="86"/>
    </row>
    <row r="42" spans="1:16" ht="15.5" customHeight="1" x14ac:dyDescent="0.3">
      <c r="A42" s="304" t="s">
        <v>102</v>
      </c>
      <c r="B42" s="305"/>
      <c r="C42" s="306"/>
      <c r="D42" s="11"/>
      <c r="E42" s="82"/>
      <c r="F42" s="36"/>
      <c r="G42" s="82"/>
      <c r="H42" s="83"/>
      <c r="I42" s="92">
        <f>F42</f>
        <v>0</v>
      </c>
      <c r="J42" s="82"/>
      <c r="K42" s="94"/>
      <c r="L42" s="82"/>
      <c r="M42" s="83"/>
      <c r="N42" s="96">
        <f>K42</f>
        <v>0</v>
      </c>
      <c r="O42" s="71">
        <f t="shared" si="0"/>
        <v>0</v>
      </c>
      <c r="P42" s="11"/>
    </row>
    <row r="43" spans="1:16" ht="15.5" customHeight="1" x14ac:dyDescent="0.3">
      <c r="A43" s="46"/>
      <c r="B43" s="47"/>
      <c r="C43" s="15" t="s">
        <v>108</v>
      </c>
      <c r="D43" s="11"/>
      <c r="E43" s="82"/>
      <c r="F43" s="12"/>
      <c r="G43" s="82"/>
      <c r="H43" s="83"/>
      <c r="I43" s="13">
        <f t="shared" ref="I43:I53" si="4">F43</f>
        <v>0</v>
      </c>
      <c r="J43" s="82"/>
      <c r="K43" s="95"/>
      <c r="L43" s="82"/>
      <c r="M43" s="83"/>
      <c r="N43" s="13">
        <f t="shared" ref="N43:N53" si="5">K43</f>
        <v>0</v>
      </c>
      <c r="O43" s="12">
        <f t="shared" si="0"/>
        <v>0</v>
      </c>
      <c r="P43" s="11"/>
    </row>
    <row r="44" spans="1:16" ht="15.5" customHeight="1" x14ac:dyDescent="0.3">
      <c r="A44" s="304" t="s">
        <v>103</v>
      </c>
      <c r="B44" s="305"/>
      <c r="C44" s="306"/>
      <c r="D44" s="11"/>
      <c r="E44" s="82"/>
      <c r="F44" s="36"/>
      <c r="G44" s="82"/>
      <c r="H44" s="83"/>
      <c r="I44" s="92">
        <f t="shared" si="4"/>
        <v>0</v>
      </c>
      <c r="J44" s="82"/>
      <c r="K44" s="94"/>
      <c r="L44" s="82"/>
      <c r="M44" s="83"/>
      <c r="N44" s="96">
        <f t="shared" si="5"/>
        <v>0</v>
      </c>
      <c r="O44" s="71">
        <f t="shared" si="0"/>
        <v>0</v>
      </c>
      <c r="P44" s="11"/>
    </row>
    <row r="45" spans="1:16" ht="15.5" customHeight="1" x14ac:dyDescent="0.3">
      <c r="A45" s="46"/>
      <c r="B45" s="47"/>
      <c r="C45" s="15" t="s">
        <v>108</v>
      </c>
      <c r="D45" s="11"/>
      <c r="E45" s="82"/>
      <c r="F45" s="12"/>
      <c r="G45" s="82"/>
      <c r="H45" s="83"/>
      <c r="I45" s="13">
        <f t="shared" si="4"/>
        <v>0</v>
      </c>
      <c r="J45" s="82"/>
      <c r="K45" s="95"/>
      <c r="L45" s="82"/>
      <c r="M45" s="83"/>
      <c r="N45" s="13">
        <f t="shared" si="5"/>
        <v>0</v>
      </c>
      <c r="O45" s="12">
        <f t="shared" si="0"/>
        <v>0</v>
      </c>
      <c r="P45" s="11"/>
    </row>
    <row r="46" spans="1:16" ht="15.5" customHeight="1" x14ac:dyDescent="0.3">
      <c r="A46" s="304" t="s">
        <v>104</v>
      </c>
      <c r="B46" s="305"/>
      <c r="C46" s="306"/>
      <c r="D46" s="11"/>
      <c r="E46" s="82"/>
      <c r="F46" s="94"/>
      <c r="G46" s="82"/>
      <c r="H46" s="83"/>
      <c r="I46" s="92">
        <f t="shared" si="4"/>
        <v>0</v>
      </c>
      <c r="J46" s="82"/>
      <c r="K46" s="94"/>
      <c r="L46" s="82"/>
      <c r="M46" s="83"/>
      <c r="N46" s="96">
        <f t="shared" si="5"/>
        <v>0</v>
      </c>
      <c r="O46" s="71">
        <f t="shared" si="0"/>
        <v>0</v>
      </c>
      <c r="P46" s="11"/>
    </row>
    <row r="47" spans="1:16" ht="15.5" customHeight="1" x14ac:dyDescent="0.3">
      <c r="A47" s="46"/>
      <c r="B47" s="47"/>
      <c r="C47" s="15" t="s">
        <v>108</v>
      </c>
      <c r="D47" s="11"/>
      <c r="E47" s="82"/>
      <c r="F47" s="12"/>
      <c r="G47" s="82"/>
      <c r="H47" s="83"/>
      <c r="I47" s="13">
        <f t="shared" si="4"/>
        <v>0</v>
      </c>
      <c r="J47" s="82"/>
      <c r="K47" s="95"/>
      <c r="L47" s="82"/>
      <c r="M47" s="83"/>
      <c r="N47" s="13">
        <f t="shared" si="5"/>
        <v>0</v>
      </c>
      <c r="O47" s="12">
        <f t="shared" si="0"/>
        <v>0</v>
      </c>
      <c r="P47" s="11"/>
    </row>
    <row r="48" spans="1:16" ht="15.5" customHeight="1" x14ac:dyDescent="0.3">
      <c r="A48" s="304" t="s">
        <v>105</v>
      </c>
      <c r="B48" s="305"/>
      <c r="C48" s="306"/>
      <c r="D48" s="11"/>
      <c r="E48" s="82"/>
      <c r="F48" s="36"/>
      <c r="G48" s="82"/>
      <c r="H48" s="83"/>
      <c r="I48" s="92">
        <f t="shared" si="4"/>
        <v>0</v>
      </c>
      <c r="J48" s="82"/>
      <c r="K48" s="94"/>
      <c r="L48" s="82"/>
      <c r="M48" s="83"/>
      <c r="N48" s="96">
        <f t="shared" si="5"/>
        <v>0</v>
      </c>
      <c r="O48" s="71">
        <f t="shared" si="0"/>
        <v>0</v>
      </c>
      <c r="P48" s="11"/>
    </row>
    <row r="49" spans="1:16" ht="15.5" customHeight="1" x14ac:dyDescent="0.3">
      <c r="A49" s="46"/>
      <c r="B49" s="47"/>
      <c r="C49" s="15" t="s">
        <v>108</v>
      </c>
      <c r="D49" s="11"/>
      <c r="E49" s="82"/>
      <c r="F49" s="12"/>
      <c r="G49" s="82"/>
      <c r="H49" s="83"/>
      <c r="I49" s="13">
        <f t="shared" si="4"/>
        <v>0</v>
      </c>
      <c r="J49" s="82"/>
      <c r="K49" s="95"/>
      <c r="L49" s="82"/>
      <c r="M49" s="83"/>
      <c r="N49" s="13">
        <f t="shared" si="5"/>
        <v>0</v>
      </c>
      <c r="O49" s="12">
        <f t="shared" si="0"/>
        <v>0</v>
      </c>
      <c r="P49" s="11"/>
    </row>
    <row r="50" spans="1:16" ht="15.5" customHeight="1" x14ac:dyDescent="0.3">
      <c r="A50" s="304" t="s">
        <v>106</v>
      </c>
      <c r="B50" s="305"/>
      <c r="C50" s="306"/>
      <c r="D50" s="11"/>
      <c r="E50" s="82"/>
      <c r="F50" s="36"/>
      <c r="G50" s="82"/>
      <c r="H50" s="83"/>
      <c r="I50" s="92">
        <f t="shared" si="4"/>
        <v>0</v>
      </c>
      <c r="J50" s="82"/>
      <c r="K50" s="94"/>
      <c r="L50" s="82"/>
      <c r="M50" s="83"/>
      <c r="N50" s="96">
        <f t="shared" si="5"/>
        <v>0</v>
      </c>
      <c r="O50" s="71">
        <f t="shared" si="0"/>
        <v>0</v>
      </c>
      <c r="P50" s="11"/>
    </row>
    <row r="51" spans="1:16" ht="15.5" customHeight="1" x14ac:dyDescent="0.3">
      <c r="A51" s="46"/>
      <c r="B51" s="47"/>
      <c r="C51" s="15" t="s">
        <v>108</v>
      </c>
      <c r="D51" s="11"/>
      <c r="E51" s="82"/>
      <c r="F51" s="12"/>
      <c r="G51" s="82"/>
      <c r="H51" s="83"/>
      <c r="I51" s="13">
        <f t="shared" si="4"/>
        <v>0</v>
      </c>
      <c r="J51" s="82"/>
      <c r="K51" s="95"/>
      <c r="L51" s="82"/>
      <c r="M51" s="83"/>
      <c r="N51" s="13">
        <f t="shared" si="5"/>
        <v>0</v>
      </c>
      <c r="O51" s="12">
        <f t="shared" si="0"/>
        <v>0</v>
      </c>
      <c r="P51" s="11"/>
    </row>
    <row r="52" spans="1:16" ht="15.5" customHeight="1" x14ac:dyDescent="0.3">
      <c r="A52" s="304" t="s">
        <v>111</v>
      </c>
      <c r="B52" s="305"/>
      <c r="C52" s="306"/>
      <c r="D52" s="11"/>
      <c r="E52" s="82"/>
      <c r="F52" s="94"/>
      <c r="G52" s="82"/>
      <c r="H52" s="83"/>
      <c r="I52" s="92">
        <f t="shared" si="4"/>
        <v>0</v>
      </c>
      <c r="J52" s="82"/>
      <c r="K52" s="94"/>
      <c r="L52" s="82"/>
      <c r="M52" s="83"/>
      <c r="N52" s="96">
        <f t="shared" si="5"/>
        <v>0</v>
      </c>
      <c r="O52" s="71">
        <f t="shared" si="0"/>
        <v>0</v>
      </c>
      <c r="P52" s="11"/>
    </row>
    <row r="53" spans="1:16" ht="15.5" customHeight="1" x14ac:dyDescent="0.3">
      <c r="A53" s="37"/>
      <c r="B53" s="38"/>
      <c r="C53" s="15" t="s">
        <v>108</v>
      </c>
      <c r="D53" s="11"/>
      <c r="E53" s="82"/>
      <c r="F53" s="12"/>
      <c r="G53" s="82"/>
      <c r="H53" s="83"/>
      <c r="I53" s="13">
        <f t="shared" si="4"/>
        <v>0</v>
      </c>
      <c r="J53" s="82"/>
      <c r="K53" s="95"/>
      <c r="L53" s="82"/>
      <c r="M53" s="83"/>
      <c r="N53" s="13">
        <f t="shared" si="5"/>
        <v>0</v>
      </c>
      <c r="O53" s="12">
        <f t="shared" si="0"/>
        <v>0</v>
      </c>
      <c r="P53" s="11"/>
    </row>
    <row r="54" spans="1:16" ht="15.5" customHeight="1" x14ac:dyDescent="0.3">
      <c r="A54" s="37"/>
      <c r="B54" s="38"/>
      <c r="C54" s="39"/>
      <c r="D54" s="11"/>
      <c r="E54" s="12"/>
      <c r="F54" s="12"/>
      <c r="G54" s="12"/>
      <c r="H54" s="26"/>
      <c r="I54" s="13"/>
      <c r="J54" s="12"/>
      <c r="K54" s="12"/>
      <c r="L54" s="12"/>
      <c r="M54" s="26"/>
      <c r="N54" s="13"/>
      <c r="O54" s="71"/>
      <c r="P54" s="11"/>
    </row>
    <row r="55" spans="1:16" ht="25.75" customHeight="1" x14ac:dyDescent="0.3">
      <c r="A55" s="243" t="s">
        <v>52</v>
      </c>
      <c r="B55" s="244"/>
      <c r="C55" s="245"/>
      <c r="D55" s="16"/>
      <c r="E55" s="82"/>
      <c r="F55" s="82"/>
      <c r="G55" s="82"/>
      <c r="H55" s="83"/>
      <c r="I55" s="86"/>
      <c r="J55" s="82"/>
      <c r="K55" s="82"/>
      <c r="L55" s="82"/>
      <c r="M55" s="83"/>
      <c r="N55" s="86"/>
      <c r="O55" s="103"/>
      <c r="P55" s="86"/>
    </row>
    <row r="56" spans="1:16" ht="15.5" customHeight="1" x14ac:dyDescent="0.3">
      <c r="A56" s="246" t="s">
        <v>56</v>
      </c>
      <c r="B56" s="247"/>
      <c r="C56" s="248"/>
      <c r="D56" s="11"/>
      <c r="E56" s="82"/>
      <c r="F56" s="82"/>
      <c r="G56" s="82"/>
      <c r="H56" s="31"/>
      <c r="I56" s="92">
        <f>H56</f>
        <v>0</v>
      </c>
      <c r="J56" s="82"/>
      <c r="K56" s="82"/>
      <c r="L56" s="82"/>
      <c r="M56" s="31"/>
      <c r="N56" s="92">
        <f>M56</f>
        <v>0</v>
      </c>
      <c r="O56" s="71">
        <f t="shared" si="0"/>
        <v>0</v>
      </c>
      <c r="P56" s="11"/>
    </row>
    <row r="57" spans="1:16" ht="15.5" customHeight="1" x14ac:dyDescent="0.3">
      <c r="A57" s="40"/>
      <c r="B57" s="41"/>
      <c r="C57" s="15" t="s">
        <v>108</v>
      </c>
      <c r="D57" s="11"/>
      <c r="E57" s="82"/>
      <c r="F57" s="82"/>
      <c r="G57" s="82"/>
      <c r="H57" s="26"/>
      <c r="I57" s="13">
        <f t="shared" ref="I57:I61" si="6">H57</f>
        <v>0</v>
      </c>
      <c r="J57" s="82"/>
      <c r="K57" s="82"/>
      <c r="L57" s="82"/>
      <c r="M57" s="26"/>
      <c r="N57" s="13">
        <f t="shared" ref="N57:N61" si="7">M57</f>
        <v>0</v>
      </c>
      <c r="O57" s="12">
        <f t="shared" si="0"/>
        <v>0</v>
      </c>
      <c r="P57" s="11"/>
    </row>
    <row r="58" spans="1:16" ht="15.5" customHeight="1" x14ac:dyDescent="0.3">
      <c r="A58" s="246" t="s">
        <v>57</v>
      </c>
      <c r="B58" s="247"/>
      <c r="C58" s="248"/>
      <c r="D58" s="11"/>
      <c r="E58" s="82"/>
      <c r="F58" s="82"/>
      <c r="G58" s="82"/>
      <c r="H58" s="31"/>
      <c r="I58" s="92">
        <f t="shared" si="6"/>
        <v>0</v>
      </c>
      <c r="J58" s="82"/>
      <c r="K58" s="82"/>
      <c r="L58" s="82"/>
      <c r="M58" s="31"/>
      <c r="N58" s="92">
        <f t="shared" si="7"/>
        <v>0</v>
      </c>
      <c r="O58" s="71">
        <f t="shared" si="0"/>
        <v>0</v>
      </c>
      <c r="P58" s="11"/>
    </row>
    <row r="59" spans="1:16" ht="15.5" customHeight="1" x14ac:dyDescent="0.3">
      <c r="A59" s="40"/>
      <c r="B59" s="41"/>
      <c r="C59" s="15" t="s">
        <v>108</v>
      </c>
      <c r="D59" s="11"/>
      <c r="E59" s="82"/>
      <c r="F59" s="82"/>
      <c r="G59" s="82"/>
      <c r="H59" s="26"/>
      <c r="I59" s="13">
        <f t="shared" si="6"/>
        <v>0</v>
      </c>
      <c r="J59" s="82"/>
      <c r="K59" s="82"/>
      <c r="L59" s="82"/>
      <c r="M59" s="26"/>
      <c r="N59" s="13">
        <f t="shared" si="7"/>
        <v>0</v>
      </c>
      <c r="O59" s="12">
        <f t="shared" si="0"/>
        <v>0</v>
      </c>
      <c r="P59" s="11"/>
    </row>
    <row r="60" spans="1:16" ht="15.5" customHeight="1" x14ac:dyDescent="0.3">
      <c r="A60" s="246" t="s">
        <v>58</v>
      </c>
      <c r="B60" s="247"/>
      <c r="C60" s="248"/>
      <c r="D60" s="11"/>
      <c r="E60" s="82"/>
      <c r="F60" s="82"/>
      <c r="G60" s="82"/>
      <c r="H60" s="31"/>
      <c r="I60" s="92">
        <f t="shared" si="6"/>
        <v>0</v>
      </c>
      <c r="J60" s="82"/>
      <c r="K60" s="82"/>
      <c r="L60" s="82"/>
      <c r="M60" s="31"/>
      <c r="N60" s="92">
        <f t="shared" si="7"/>
        <v>0</v>
      </c>
      <c r="O60" s="71">
        <f t="shared" si="0"/>
        <v>0</v>
      </c>
      <c r="P60" s="11"/>
    </row>
    <row r="61" spans="1:16" ht="15.5" customHeight="1" x14ac:dyDescent="0.3">
      <c r="A61" s="40"/>
      <c r="B61" s="41"/>
      <c r="C61" s="15" t="s">
        <v>108</v>
      </c>
      <c r="D61" s="11"/>
      <c r="E61" s="82"/>
      <c r="F61" s="82"/>
      <c r="G61" s="82"/>
      <c r="H61" s="26"/>
      <c r="I61" s="13">
        <f t="shared" si="6"/>
        <v>0</v>
      </c>
      <c r="J61" s="82"/>
      <c r="K61" s="82"/>
      <c r="L61" s="82"/>
      <c r="M61" s="26"/>
      <c r="N61" s="13">
        <f t="shared" si="7"/>
        <v>0</v>
      </c>
      <c r="O61" s="12">
        <f t="shared" si="0"/>
        <v>0</v>
      </c>
      <c r="P61" s="11"/>
    </row>
    <row r="62" spans="1:16" ht="15.5" customHeight="1" x14ac:dyDescent="0.3">
      <c r="A62" s="214"/>
      <c r="B62" s="215"/>
      <c r="C62" s="216"/>
      <c r="D62" s="11"/>
      <c r="E62" s="12"/>
      <c r="F62" s="12"/>
      <c r="G62" s="12"/>
      <c r="H62" s="26"/>
      <c r="I62" s="13"/>
      <c r="J62" s="12"/>
      <c r="K62" s="12"/>
      <c r="L62" s="12"/>
      <c r="M62" s="26"/>
      <c r="N62" s="13"/>
      <c r="O62" s="71"/>
      <c r="P62" s="11"/>
    </row>
    <row r="63" spans="1:16" x14ac:dyDescent="0.3">
      <c r="A63" s="224" t="s">
        <v>59</v>
      </c>
      <c r="B63" s="225"/>
      <c r="C63" s="226"/>
      <c r="D63" s="11"/>
      <c r="E63" s="82"/>
      <c r="F63" s="82"/>
      <c r="G63" s="82"/>
      <c r="H63" s="83"/>
      <c r="I63" s="93"/>
      <c r="J63" s="82"/>
      <c r="K63" s="82"/>
      <c r="L63" s="82"/>
      <c r="M63" s="83"/>
      <c r="N63" s="93"/>
      <c r="O63" s="103"/>
      <c r="P63" s="87"/>
    </row>
    <row r="64" spans="1:16" x14ac:dyDescent="0.3">
      <c r="A64" s="295" t="s">
        <v>67</v>
      </c>
      <c r="B64" s="296"/>
      <c r="C64" s="297"/>
      <c r="D64" s="11"/>
      <c r="E64" s="82"/>
      <c r="F64" s="82"/>
      <c r="G64" s="82"/>
      <c r="H64" s="83"/>
      <c r="I64" s="93"/>
      <c r="J64" s="82"/>
      <c r="K64" s="82"/>
      <c r="L64" s="82"/>
      <c r="M64" s="83"/>
      <c r="N64" s="93"/>
      <c r="O64" s="103"/>
      <c r="P64" s="87"/>
    </row>
    <row r="65" spans="1:16" ht="15.5" customHeight="1" x14ac:dyDescent="0.3">
      <c r="A65" s="308" t="s">
        <v>68</v>
      </c>
      <c r="B65" s="309"/>
      <c r="C65" s="310"/>
      <c r="D65" s="11"/>
      <c r="E65" s="82"/>
      <c r="F65" s="82"/>
      <c r="G65" s="12"/>
      <c r="H65" s="26"/>
      <c r="I65" s="13">
        <f>SUM(G65:H65)</f>
        <v>0</v>
      </c>
      <c r="J65" s="12" t="s">
        <v>170</v>
      </c>
      <c r="K65" s="12"/>
      <c r="L65" s="12"/>
      <c r="M65" s="26"/>
      <c r="N65" s="13">
        <f>SUM(L65:M65)</f>
        <v>0</v>
      </c>
      <c r="O65" s="12">
        <f t="shared" si="0"/>
        <v>0</v>
      </c>
      <c r="P65" s="11"/>
    </row>
    <row r="66" spans="1:16" ht="15.5" customHeight="1" x14ac:dyDescent="0.3">
      <c r="A66" s="308" t="s">
        <v>69</v>
      </c>
      <c r="B66" s="309"/>
      <c r="C66" s="310"/>
      <c r="D66" s="11"/>
      <c r="E66" s="85"/>
      <c r="F66" s="85"/>
      <c r="G66" s="56"/>
      <c r="H66" s="60"/>
      <c r="I66" s="13">
        <f>SUM(G66:H66)</f>
        <v>0</v>
      </c>
      <c r="J66" s="56" t="s">
        <v>170</v>
      </c>
      <c r="K66" s="56"/>
      <c r="L66" s="56"/>
      <c r="M66" s="60"/>
      <c r="N66" s="13">
        <f>SUM(L66:M66)</f>
        <v>0</v>
      </c>
      <c r="O66" s="12">
        <f t="shared" si="0"/>
        <v>0</v>
      </c>
      <c r="P66" s="11"/>
    </row>
    <row r="67" spans="1:16" ht="27.65" customHeight="1" x14ac:dyDescent="0.3">
      <c r="A67" s="311" t="s">
        <v>66</v>
      </c>
      <c r="B67" s="312"/>
      <c r="C67" s="313"/>
      <c r="D67" s="16"/>
      <c r="E67" s="12"/>
      <c r="F67" s="61"/>
      <c r="G67" s="61"/>
      <c r="H67" s="63"/>
      <c r="I67" s="61">
        <f>SUM(E67:H67)</f>
        <v>0</v>
      </c>
      <c r="J67" s="12" t="s">
        <v>170</v>
      </c>
      <c r="K67" s="61"/>
      <c r="L67" s="61"/>
      <c r="M67" s="63"/>
      <c r="N67" s="61">
        <f>SUM(J67:M67)</f>
        <v>0</v>
      </c>
      <c r="O67" s="12">
        <f t="shared" si="0"/>
        <v>0</v>
      </c>
      <c r="P67" s="16"/>
    </row>
    <row r="68" spans="1:16" ht="15.5" customHeight="1" x14ac:dyDescent="0.3">
      <c r="A68" s="43"/>
      <c r="B68" s="44"/>
      <c r="C68" s="45"/>
      <c r="D68" s="16"/>
      <c r="E68" s="12"/>
      <c r="F68" s="12"/>
      <c r="G68" s="12"/>
      <c r="H68" s="26"/>
      <c r="I68" s="13"/>
      <c r="J68" s="12"/>
      <c r="K68" s="12"/>
      <c r="L68" s="12"/>
      <c r="M68" s="26"/>
      <c r="N68" s="13"/>
      <c r="O68" s="71"/>
      <c r="P68" s="16"/>
    </row>
    <row r="69" spans="1:16" x14ac:dyDescent="0.3">
      <c r="A69" s="295" t="s">
        <v>70</v>
      </c>
      <c r="B69" s="296"/>
      <c r="C69" s="297"/>
      <c r="D69" s="11"/>
      <c r="E69" s="82"/>
      <c r="F69" s="82"/>
      <c r="G69" s="82"/>
      <c r="H69" s="83"/>
      <c r="I69" s="93"/>
      <c r="J69" s="82"/>
      <c r="K69" s="82"/>
      <c r="L69" s="82"/>
      <c r="M69" s="83"/>
      <c r="N69" s="93"/>
      <c r="O69" s="103"/>
      <c r="P69" s="87"/>
    </row>
    <row r="70" spans="1:16" ht="15.5" customHeight="1" x14ac:dyDescent="0.3">
      <c r="A70" s="308" t="s">
        <v>74</v>
      </c>
      <c r="B70" s="309"/>
      <c r="C70" s="310"/>
      <c r="D70" s="11"/>
      <c r="E70" s="61"/>
      <c r="F70" s="61"/>
      <c r="G70" s="61"/>
      <c r="H70" s="61"/>
      <c r="I70" s="62">
        <f>SUM(E70:H70)</f>
        <v>0</v>
      </c>
      <c r="J70" s="61" t="s">
        <v>170</v>
      </c>
      <c r="K70" s="61"/>
      <c r="L70" s="61"/>
      <c r="M70" s="61"/>
      <c r="N70" s="62">
        <f>SUM(J70:M70)</f>
        <v>0</v>
      </c>
      <c r="O70" s="12">
        <f t="shared" si="0"/>
        <v>0</v>
      </c>
      <c r="P70" s="11"/>
    </row>
    <row r="71" spans="1:16" ht="15.5" customHeight="1" x14ac:dyDescent="0.3">
      <c r="A71" s="308" t="s">
        <v>71</v>
      </c>
      <c r="B71" s="309"/>
      <c r="C71" s="310"/>
      <c r="D71" s="11"/>
      <c r="E71" s="61"/>
      <c r="F71" s="61"/>
      <c r="G71" s="61"/>
      <c r="H71" s="63"/>
      <c r="I71" s="62">
        <f t="shared" ref="I71:I72" si="8">SUM(E71:H71)</f>
        <v>0</v>
      </c>
      <c r="J71" s="61" t="s">
        <v>170</v>
      </c>
      <c r="K71" s="61"/>
      <c r="L71" s="61"/>
      <c r="M71" s="63"/>
      <c r="N71" s="62">
        <f t="shared" ref="N71:N72" si="9">SUM(J71:M71)</f>
        <v>0</v>
      </c>
      <c r="O71" s="12">
        <f t="shared" si="0"/>
        <v>0</v>
      </c>
      <c r="P71" s="11"/>
    </row>
    <row r="72" spans="1:16" ht="15.5" customHeight="1" x14ac:dyDescent="0.3">
      <c r="A72" s="308" t="s">
        <v>72</v>
      </c>
      <c r="B72" s="309"/>
      <c r="C72" s="310"/>
      <c r="D72" s="11"/>
      <c r="E72" s="12"/>
      <c r="F72" s="12"/>
      <c r="G72" s="12"/>
      <c r="H72" s="26"/>
      <c r="I72" s="62">
        <f t="shared" si="8"/>
        <v>0</v>
      </c>
      <c r="J72" s="12" t="s">
        <v>170</v>
      </c>
      <c r="K72" s="12"/>
      <c r="L72" s="12"/>
      <c r="M72" s="26"/>
      <c r="N72" s="62">
        <f t="shared" si="9"/>
        <v>0</v>
      </c>
      <c r="O72" s="12">
        <f t="shared" si="0"/>
        <v>0</v>
      </c>
      <c r="P72" s="11"/>
    </row>
    <row r="73" spans="1:16" ht="15.5" customHeight="1" x14ac:dyDescent="0.3">
      <c r="A73" s="214"/>
      <c r="B73" s="215"/>
      <c r="C73" s="216"/>
      <c r="D73" s="11"/>
      <c r="E73" s="12"/>
      <c r="F73" s="12"/>
      <c r="G73" s="12"/>
      <c r="H73" s="26"/>
      <c r="I73" s="62"/>
      <c r="J73" s="12"/>
      <c r="K73" s="12"/>
      <c r="L73" s="12"/>
      <c r="M73" s="26"/>
      <c r="N73" s="62"/>
      <c r="O73" s="12"/>
      <c r="P73" s="11"/>
    </row>
    <row r="74" spans="1:16" x14ac:dyDescent="0.3">
      <c r="A74" s="295" t="s">
        <v>73</v>
      </c>
      <c r="B74" s="296"/>
      <c r="C74" s="297"/>
      <c r="D74" s="11"/>
      <c r="E74" s="12"/>
      <c r="F74" s="12"/>
      <c r="G74" s="12"/>
      <c r="H74" s="26"/>
      <c r="I74" s="62">
        <f>SUM(E74:H74)</f>
        <v>0</v>
      </c>
      <c r="J74" s="12" t="s">
        <v>170</v>
      </c>
      <c r="K74" s="12"/>
      <c r="L74" s="12"/>
      <c r="M74" s="26"/>
      <c r="N74" s="62">
        <f>SUM(J74:M74)</f>
        <v>0</v>
      </c>
      <c r="O74" s="12">
        <f t="shared" si="0"/>
        <v>0</v>
      </c>
      <c r="P74" s="11"/>
    </row>
    <row r="75" spans="1:16" ht="15.5" customHeight="1" x14ac:dyDescent="0.3">
      <c r="A75" s="214"/>
      <c r="B75" s="215"/>
      <c r="C75" s="216"/>
      <c r="D75" s="11"/>
      <c r="E75" s="12"/>
      <c r="F75" s="12"/>
      <c r="G75" s="12"/>
      <c r="H75" s="26"/>
      <c r="I75" s="13"/>
      <c r="J75" s="12"/>
      <c r="K75" s="12"/>
      <c r="L75" s="12"/>
      <c r="M75" s="26"/>
      <c r="N75" s="13"/>
      <c r="O75" s="104"/>
      <c r="P75" s="11"/>
    </row>
    <row r="76" spans="1:16" x14ac:dyDescent="0.3">
      <c r="A76" s="208" t="s">
        <v>42</v>
      </c>
      <c r="B76" s="209"/>
      <c r="C76" s="210"/>
      <c r="D76" s="19">
        <v>310300000000000</v>
      </c>
      <c r="E76" s="34"/>
      <c r="F76" s="34"/>
      <c r="G76" s="34"/>
      <c r="H76" s="29"/>
      <c r="I76" s="51"/>
      <c r="J76" s="34"/>
      <c r="K76" s="34"/>
      <c r="L76" s="34"/>
      <c r="M76" s="29"/>
      <c r="N76" s="51"/>
      <c r="O76" s="71"/>
      <c r="P76" s="9"/>
    </row>
    <row r="77" spans="1:16" x14ac:dyDescent="0.3">
      <c r="A77" s="211" t="s">
        <v>23</v>
      </c>
      <c r="B77" s="212"/>
      <c r="C77" s="213"/>
      <c r="D77" s="11"/>
      <c r="E77" s="82"/>
      <c r="F77" s="82"/>
      <c r="G77" s="82"/>
      <c r="H77" s="83"/>
      <c r="I77" s="93"/>
      <c r="J77" s="82"/>
      <c r="K77" s="82"/>
      <c r="L77" s="82"/>
      <c r="M77" s="83"/>
      <c r="N77" s="93"/>
      <c r="O77" s="103"/>
      <c r="P77" s="87"/>
    </row>
    <row r="78" spans="1:16" ht="12.65" customHeight="1" x14ac:dyDescent="0.3">
      <c r="A78" s="243" t="s">
        <v>77</v>
      </c>
      <c r="B78" s="244"/>
      <c r="C78" s="245"/>
      <c r="D78" s="16"/>
      <c r="E78" s="82"/>
      <c r="F78" s="82"/>
      <c r="G78" s="82"/>
      <c r="H78" s="83"/>
      <c r="I78" s="86"/>
      <c r="J78" s="82"/>
      <c r="K78" s="82"/>
      <c r="L78" s="82"/>
      <c r="M78" s="83"/>
      <c r="N78" s="86"/>
      <c r="O78" s="103"/>
      <c r="P78" s="86"/>
    </row>
    <row r="79" spans="1:16" ht="15" customHeight="1" x14ac:dyDescent="0.3">
      <c r="A79" s="246" t="s">
        <v>78</v>
      </c>
      <c r="B79" s="247"/>
      <c r="C79" s="248"/>
      <c r="D79" s="11"/>
      <c r="E79" s="82"/>
      <c r="F79" s="82"/>
      <c r="G79" s="82"/>
      <c r="H79" s="65"/>
      <c r="I79" s="66">
        <f>H79</f>
        <v>0</v>
      </c>
      <c r="J79" s="82"/>
      <c r="K79" s="82"/>
      <c r="L79" s="82"/>
      <c r="M79" s="65"/>
      <c r="N79" s="66">
        <f>M79</f>
        <v>0</v>
      </c>
      <c r="O79" s="71">
        <f t="shared" si="0"/>
        <v>0</v>
      </c>
      <c r="P79" s="11"/>
    </row>
    <row r="80" spans="1:16" ht="15" customHeight="1" x14ac:dyDescent="0.3">
      <c r="A80" s="40"/>
      <c r="B80" s="41"/>
      <c r="C80" s="15" t="s">
        <v>108</v>
      </c>
      <c r="D80" s="11"/>
      <c r="E80" s="82"/>
      <c r="F80" s="82"/>
      <c r="G80" s="82"/>
      <c r="H80" s="63"/>
      <c r="I80" s="99">
        <f t="shared" ref="I80:I86" si="10">H80</f>
        <v>0</v>
      </c>
      <c r="J80" s="82"/>
      <c r="K80" s="82"/>
      <c r="L80" s="82"/>
      <c r="M80" s="63"/>
      <c r="N80" s="99">
        <f t="shared" ref="N80:N86" si="11">M80</f>
        <v>0</v>
      </c>
      <c r="O80" s="12">
        <f t="shared" si="0"/>
        <v>0</v>
      </c>
      <c r="P80" s="11"/>
    </row>
    <row r="81" spans="1:16" ht="30" customHeight="1" x14ac:dyDescent="0.3">
      <c r="A81" s="258" t="s">
        <v>76</v>
      </c>
      <c r="B81" s="259"/>
      <c r="C81" s="260"/>
      <c r="D81" s="11"/>
      <c r="E81" s="82"/>
      <c r="F81" s="82"/>
      <c r="G81" s="82"/>
      <c r="H81" s="65"/>
      <c r="I81" s="66">
        <f t="shared" si="10"/>
        <v>0</v>
      </c>
      <c r="J81" s="82"/>
      <c r="K81" s="82"/>
      <c r="L81" s="82"/>
      <c r="M81" s="65"/>
      <c r="N81" s="66">
        <f t="shared" si="11"/>
        <v>0</v>
      </c>
      <c r="O81" s="71">
        <f t="shared" si="0"/>
        <v>0</v>
      </c>
      <c r="P81" s="11"/>
    </row>
    <row r="82" spans="1:16" ht="15.5" customHeight="1" x14ac:dyDescent="0.3">
      <c r="A82" s="40"/>
      <c r="B82" s="41"/>
      <c r="C82" s="15" t="s">
        <v>108</v>
      </c>
      <c r="D82" s="11"/>
      <c r="E82" s="82"/>
      <c r="F82" s="82"/>
      <c r="G82" s="82"/>
      <c r="H82" s="63"/>
      <c r="I82" s="99">
        <f t="shared" si="10"/>
        <v>0</v>
      </c>
      <c r="J82" s="82"/>
      <c r="K82" s="82"/>
      <c r="L82" s="82"/>
      <c r="M82" s="63"/>
      <c r="N82" s="99">
        <f t="shared" si="11"/>
        <v>0</v>
      </c>
      <c r="O82" s="12">
        <f t="shared" si="0"/>
        <v>0</v>
      </c>
      <c r="P82" s="11"/>
    </row>
    <row r="83" spans="1:16" ht="15.5" customHeight="1" x14ac:dyDescent="0.3">
      <c r="A83" s="246" t="s">
        <v>79</v>
      </c>
      <c r="B83" s="247"/>
      <c r="C83" s="248"/>
      <c r="D83" s="11"/>
      <c r="E83" s="82"/>
      <c r="F83" s="82"/>
      <c r="G83" s="82"/>
      <c r="H83" s="65"/>
      <c r="I83" s="66">
        <f t="shared" si="10"/>
        <v>0</v>
      </c>
      <c r="J83" s="82"/>
      <c r="K83" s="82"/>
      <c r="L83" s="82"/>
      <c r="M83" s="65"/>
      <c r="N83" s="66">
        <f t="shared" si="11"/>
        <v>0</v>
      </c>
      <c r="O83" s="71">
        <f t="shared" si="0"/>
        <v>0</v>
      </c>
      <c r="P83" s="11"/>
    </row>
    <row r="84" spans="1:16" ht="15.5" customHeight="1" x14ac:dyDescent="0.3">
      <c r="A84" s="40"/>
      <c r="B84" s="41"/>
      <c r="C84" s="15" t="s">
        <v>108</v>
      </c>
      <c r="D84" s="11"/>
      <c r="E84" s="82"/>
      <c r="F84" s="82"/>
      <c r="G84" s="82"/>
      <c r="H84" s="63"/>
      <c r="I84" s="99">
        <f t="shared" si="10"/>
        <v>0</v>
      </c>
      <c r="J84" s="82"/>
      <c r="K84" s="82"/>
      <c r="L84" s="82"/>
      <c r="M84" s="63"/>
      <c r="N84" s="99">
        <f t="shared" si="11"/>
        <v>0</v>
      </c>
      <c r="O84" s="12">
        <f t="shared" si="0"/>
        <v>0</v>
      </c>
      <c r="P84" s="11"/>
    </row>
    <row r="85" spans="1:16" ht="15.5" customHeight="1" x14ac:dyDescent="0.3">
      <c r="A85" s="246" t="s">
        <v>81</v>
      </c>
      <c r="B85" s="247"/>
      <c r="C85" s="248"/>
      <c r="D85" s="11"/>
      <c r="E85" s="82"/>
      <c r="F85" s="82"/>
      <c r="G85" s="82"/>
      <c r="H85" s="65"/>
      <c r="I85" s="66">
        <f t="shared" si="10"/>
        <v>0</v>
      </c>
      <c r="J85" s="82"/>
      <c r="K85" s="82"/>
      <c r="L85" s="82"/>
      <c r="M85" s="65"/>
      <c r="N85" s="66">
        <f t="shared" si="11"/>
        <v>0</v>
      </c>
      <c r="O85" s="71">
        <f t="shared" ref="O85:O128" si="12">N85-I85</f>
        <v>0</v>
      </c>
      <c r="P85" s="11"/>
    </row>
    <row r="86" spans="1:16" ht="15.5" customHeight="1" x14ac:dyDescent="0.3">
      <c r="A86" s="37"/>
      <c r="B86" s="38"/>
      <c r="C86" s="15" t="s">
        <v>108</v>
      </c>
      <c r="D86" s="11"/>
      <c r="E86" s="82"/>
      <c r="F86" s="82"/>
      <c r="G86" s="82"/>
      <c r="H86" s="63"/>
      <c r="I86" s="99">
        <f t="shared" si="10"/>
        <v>0</v>
      </c>
      <c r="J86" s="82"/>
      <c r="K86" s="82"/>
      <c r="L86" s="82"/>
      <c r="M86" s="63"/>
      <c r="N86" s="99">
        <f t="shared" si="11"/>
        <v>0</v>
      </c>
      <c r="O86" s="12">
        <f t="shared" si="12"/>
        <v>0</v>
      </c>
      <c r="P86" s="11"/>
    </row>
    <row r="87" spans="1:16" ht="15.5" customHeight="1" x14ac:dyDescent="0.3">
      <c r="A87" s="214"/>
      <c r="B87" s="215"/>
      <c r="C87" s="216"/>
      <c r="D87" s="11"/>
      <c r="E87" s="12"/>
      <c r="F87" s="12"/>
      <c r="G87" s="12"/>
      <c r="H87" s="63"/>
      <c r="I87" s="13"/>
      <c r="J87" s="12"/>
      <c r="K87" s="12"/>
      <c r="L87" s="12"/>
      <c r="M87" s="63"/>
      <c r="N87" s="13"/>
      <c r="O87" s="71"/>
      <c r="P87" s="11"/>
    </row>
    <row r="88" spans="1:16" ht="13" customHeight="1" x14ac:dyDescent="0.3">
      <c r="A88" s="261" t="s">
        <v>80</v>
      </c>
      <c r="B88" s="262"/>
      <c r="C88" s="263"/>
      <c r="D88" s="16"/>
      <c r="E88" s="82"/>
      <c r="F88" s="82"/>
      <c r="G88" s="82"/>
      <c r="H88" s="64"/>
      <c r="I88" s="66">
        <f>H88</f>
        <v>0</v>
      </c>
      <c r="J88" s="82"/>
      <c r="K88" s="82"/>
      <c r="L88" s="82"/>
      <c r="M88" s="64"/>
      <c r="N88" s="66">
        <f>M88</f>
        <v>0</v>
      </c>
      <c r="O88" s="71">
        <f t="shared" si="12"/>
        <v>0</v>
      </c>
      <c r="P88" s="16"/>
    </row>
    <row r="89" spans="1:16" ht="15.5" customHeight="1" x14ac:dyDescent="0.3">
      <c r="A89" s="214"/>
      <c r="B89" s="215"/>
      <c r="C89" s="216"/>
      <c r="D89" s="11"/>
      <c r="E89" s="12"/>
      <c r="F89" s="12"/>
      <c r="G89" s="12"/>
      <c r="H89" s="26"/>
      <c r="I89" s="13"/>
      <c r="J89" s="12"/>
      <c r="K89" s="12"/>
      <c r="L89" s="12"/>
      <c r="M89" s="26"/>
      <c r="N89" s="13"/>
      <c r="O89" s="71"/>
      <c r="P89" s="11"/>
    </row>
    <row r="90" spans="1:16" x14ac:dyDescent="0.3">
      <c r="A90" s="264" t="s">
        <v>59</v>
      </c>
      <c r="B90" s="265"/>
      <c r="C90" s="266"/>
      <c r="D90" s="11"/>
      <c r="E90" s="82"/>
      <c r="F90" s="82"/>
      <c r="G90" s="82"/>
      <c r="H90" s="83"/>
      <c r="I90" s="93"/>
      <c r="J90" s="82"/>
      <c r="K90" s="82"/>
      <c r="L90" s="82"/>
      <c r="M90" s="83"/>
      <c r="N90" s="93"/>
      <c r="O90" s="103"/>
      <c r="P90" s="87"/>
    </row>
    <row r="91" spans="1:16" x14ac:dyDescent="0.3">
      <c r="A91" s="264" t="s">
        <v>82</v>
      </c>
      <c r="B91" s="265"/>
      <c r="C91" s="266"/>
      <c r="D91" s="11"/>
      <c r="E91" s="82"/>
      <c r="F91" s="82"/>
      <c r="G91" s="82"/>
      <c r="H91" s="83"/>
      <c r="I91" s="93"/>
      <c r="J91" s="82"/>
      <c r="K91" s="82"/>
      <c r="L91" s="82"/>
      <c r="M91" s="83"/>
      <c r="N91" s="93"/>
      <c r="O91" s="103"/>
      <c r="P91" s="87"/>
    </row>
    <row r="92" spans="1:16" ht="15.5" customHeight="1" x14ac:dyDescent="0.3">
      <c r="A92" s="246" t="s">
        <v>83</v>
      </c>
      <c r="B92" s="247"/>
      <c r="C92" s="248"/>
      <c r="D92" s="11"/>
      <c r="E92" s="82"/>
      <c r="F92" s="82"/>
      <c r="G92" s="26"/>
      <c r="H92" s="83"/>
      <c r="I92" s="13">
        <f>G92</f>
        <v>0</v>
      </c>
      <c r="J92" s="82"/>
      <c r="K92" s="82"/>
      <c r="L92" s="26"/>
      <c r="M92" s="83"/>
      <c r="N92" s="13">
        <f>L92</f>
        <v>0</v>
      </c>
      <c r="O92" s="12">
        <f t="shared" si="12"/>
        <v>0</v>
      </c>
      <c r="P92" s="11"/>
    </row>
    <row r="93" spans="1:16" ht="15.5" customHeight="1" x14ac:dyDescent="0.3">
      <c r="A93" s="246" t="s">
        <v>84</v>
      </c>
      <c r="B93" s="247"/>
      <c r="C93" s="248"/>
      <c r="D93" s="11"/>
      <c r="E93" s="82"/>
      <c r="F93" s="82"/>
      <c r="G93" s="26"/>
      <c r="H93" s="83"/>
      <c r="I93" s="13">
        <f t="shared" ref="I93:I96" si="13">G93</f>
        <v>0</v>
      </c>
      <c r="J93" s="82"/>
      <c r="K93" s="82"/>
      <c r="L93" s="26"/>
      <c r="M93" s="83"/>
      <c r="N93" s="13">
        <f t="shared" ref="N93:N96" si="14">L93</f>
        <v>0</v>
      </c>
      <c r="O93" s="12">
        <f t="shared" si="12"/>
        <v>0</v>
      </c>
      <c r="P93" s="11"/>
    </row>
    <row r="94" spans="1:16" ht="15.5" customHeight="1" x14ac:dyDescent="0.3">
      <c r="A94" s="246" t="s">
        <v>85</v>
      </c>
      <c r="B94" s="247"/>
      <c r="C94" s="248"/>
      <c r="D94" s="11"/>
      <c r="E94" s="82"/>
      <c r="F94" s="82"/>
      <c r="G94" s="26"/>
      <c r="H94" s="83"/>
      <c r="I94" s="13">
        <f t="shared" si="13"/>
        <v>0</v>
      </c>
      <c r="J94" s="82"/>
      <c r="K94" s="82"/>
      <c r="L94" s="26"/>
      <c r="M94" s="83"/>
      <c r="N94" s="13">
        <f t="shared" si="14"/>
        <v>0</v>
      </c>
      <c r="O94" s="12">
        <f t="shared" si="12"/>
        <v>0</v>
      </c>
      <c r="P94" s="11"/>
    </row>
    <row r="95" spans="1:16" ht="34.75" customHeight="1" x14ac:dyDescent="0.3">
      <c r="A95" s="252" t="s">
        <v>112</v>
      </c>
      <c r="B95" s="253"/>
      <c r="C95" s="254"/>
      <c r="D95" s="11"/>
      <c r="E95" s="82"/>
      <c r="F95" s="82"/>
      <c r="G95" s="26"/>
      <c r="H95" s="83"/>
      <c r="I95" s="13">
        <f t="shared" si="13"/>
        <v>0</v>
      </c>
      <c r="J95" s="82"/>
      <c r="K95" s="82"/>
      <c r="L95" s="26"/>
      <c r="M95" s="83"/>
      <c r="N95" s="13">
        <f t="shared" si="14"/>
        <v>0</v>
      </c>
      <c r="O95" s="12">
        <f t="shared" si="12"/>
        <v>0</v>
      </c>
      <c r="P95" s="11"/>
    </row>
    <row r="96" spans="1:16" x14ac:dyDescent="0.3">
      <c r="A96" s="252" t="s">
        <v>65</v>
      </c>
      <c r="B96" s="253"/>
      <c r="C96" s="254"/>
      <c r="D96" s="11"/>
      <c r="E96" s="82"/>
      <c r="F96" s="82"/>
      <c r="G96" s="68"/>
      <c r="H96" s="84"/>
      <c r="I96" s="13">
        <f t="shared" si="13"/>
        <v>0</v>
      </c>
      <c r="J96" s="82"/>
      <c r="K96" s="82"/>
      <c r="L96" s="68"/>
      <c r="M96" s="84"/>
      <c r="N96" s="13">
        <f t="shared" si="14"/>
        <v>0</v>
      </c>
      <c r="O96" s="12">
        <f t="shared" si="12"/>
        <v>0</v>
      </c>
      <c r="P96" s="11"/>
    </row>
    <row r="97" spans="1:16" x14ac:dyDescent="0.3">
      <c r="A97" s="211"/>
      <c r="B97" s="212"/>
      <c r="C97" s="213"/>
      <c r="D97" s="11"/>
      <c r="E97" s="12"/>
      <c r="F97" s="12"/>
      <c r="G97" s="12"/>
      <c r="H97" s="26"/>
      <c r="I97" s="16"/>
      <c r="J97" s="12"/>
      <c r="K97" s="12"/>
      <c r="L97" s="12"/>
      <c r="M97" s="26"/>
      <c r="N97" s="16"/>
      <c r="O97" s="104"/>
      <c r="P97" s="11"/>
    </row>
    <row r="98" spans="1:16" x14ac:dyDescent="0.3">
      <c r="A98" s="208" t="s">
        <v>41</v>
      </c>
      <c r="B98" s="209"/>
      <c r="C98" s="210"/>
      <c r="D98" s="19">
        <v>310400000000000</v>
      </c>
      <c r="E98" s="34"/>
      <c r="F98" s="34"/>
      <c r="G98" s="34"/>
      <c r="H98" s="29"/>
      <c r="I98" s="51"/>
      <c r="J98" s="9"/>
      <c r="K98" s="9"/>
      <c r="L98" s="9"/>
      <c r="M98" s="9"/>
      <c r="N98" s="9"/>
      <c r="O98" s="71"/>
      <c r="P98" s="9"/>
    </row>
    <row r="99" spans="1:16" x14ac:dyDescent="0.3">
      <c r="A99" s="211" t="s">
        <v>86</v>
      </c>
      <c r="B99" s="212"/>
      <c r="C99" s="213"/>
      <c r="D99" s="11"/>
      <c r="E99" s="82"/>
      <c r="F99" s="82"/>
      <c r="G99" s="82"/>
      <c r="H99" s="83"/>
      <c r="I99" s="93"/>
      <c r="J99" s="87"/>
      <c r="K99" s="87"/>
      <c r="L99" s="87"/>
      <c r="M99" s="87"/>
      <c r="N99" s="87"/>
      <c r="O99" s="103"/>
      <c r="P99" s="87"/>
    </row>
    <row r="100" spans="1:16" ht="13" customHeight="1" x14ac:dyDescent="0.3">
      <c r="A100" s="243" t="s">
        <v>87</v>
      </c>
      <c r="B100" s="244"/>
      <c r="C100" s="245"/>
      <c r="D100" s="16"/>
      <c r="E100" s="82"/>
      <c r="F100" s="82"/>
      <c r="G100" s="82"/>
      <c r="H100" s="83"/>
      <c r="I100" s="86"/>
      <c r="J100" s="86"/>
      <c r="K100" s="86"/>
      <c r="L100" s="86"/>
      <c r="M100" s="86"/>
      <c r="N100" s="86"/>
      <c r="O100" s="103"/>
      <c r="P100" s="86"/>
    </row>
    <row r="101" spans="1:16" ht="15.5" customHeight="1" x14ac:dyDescent="0.3">
      <c r="A101" s="246" t="s">
        <v>56</v>
      </c>
      <c r="B101" s="247"/>
      <c r="C101" s="248"/>
      <c r="D101" s="11"/>
      <c r="E101" s="82"/>
      <c r="F101" s="82"/>
      <c r="G101" s="82"/>
      <c r="H101" s="68"/>
      <c r="I101" s="96">
        <f>H101</f>
        <v>0</v>
      </c>
      <c r="J101" s="82"/>
      <c r="K101" s="82"/>
      <c r="L101" s="82"/>
      <c r="M101" s="101"/>
      <c r="N101" s="102">
        <f>M101</f>
        <v>0</v>
      </c>
      <c r="O101" s="71">
        <f t="shared" si="12"/>
        <v>0</v>
      </c>
      <c r="P101" s="11"/>
    </row>
    <row r="102" spans="1:16" ht="15.5" customHeight="1" x14ac:dyDescent="0.3">
      <c r="A102" s="246" t="s">
        <v>88</v>
      </c>
      <c r="B102" s="247"/>
      <c r="C102" s="248"/>
      <c r="D102" s="11"/>
      <c r="E102" s="82"/>
      <c r="F102" s="82"/>
      <c r="G102" s="82"/>
      <c r="H102" s="31"/>
      <c r="I102" s="96">
        <f>H102</f>
        <v>0</v>
      </c>
      <c r="J102" s="82"/>
      <c r="K102" s="82"/>
      <c r="L102" s="82"/>
      <c r="M102" s="101"/>
      <c r="N102" s="102">
        <f>M102</f>
        <v>0</v>
      </c>
      <c r="O102" s="71">
        <f t="shared" si="12"/>
        <v>0</v>
      </c>
      <c r="P102" s="11"/>
    </row>
    <row r="103" spans="1:16" ht="13" customHeight="1" x14ac:dyDescent="0.3">
      <c r="A103" s="243" t="s">
        <v>89</v>
      </c>
      <c r="B103" s="244"/>
      <c r="C103" s="245"/>
      <c r="D103" s="16"/>
      <c r="E103" s="82"/>
      <c r="F103" s="82"/>
      <c r="G103" s="82"/>
      <c r="H103" s="100"/>
      <c r="I103" s="86"/>
      <c r="J103" s="82"/>
      <c r="K103" s="82"/>
      <c r="L103" s="82"/>
      <c r="M103" s="86"/>
      <c r="N103" s="86"/>
      <c r="O103" s="103"/>
      <c r="P103" s="86"/>
    </row>
    <row r="104" spans="1:16" ht="15.5" customHeight="1" x14ac:dyDescent="0.3">
      <c r="A104" s="246" t="s">
        <v>56</v>
      </c>
      <c r="B104" s="247"/>
      <c r="C104" s="248"/>
      <c r="D104" s="11"/>
      <c r="E104" s="82"/>
      <c r="F104" s="82"/>
      <c r="G104" s="82"/>
      <c r="H104" s="31"/>
      <c r="I104" s="96">
        <f>H104</f>
        <v>0</v>
      </c>
      <c r="J104" s="82"/>
      <c r="K104" s="82"/>
      <c r="L104" s="82"/>
      <c r="M104" s="101"/>
      <c r="N104" s="71">
        <f>M104</f>
        <v>0</v>
      </c>
      <c r="O104" s="71">
        <f t="shared" si="12"/>
        <v>0</v>
      </c>
      <c r="P104" s="11"/>
    </row>
    <row r="105" spans="1:16" ht="15.5" customHeight="1" x14ac:dyDescent="0.3">
      <c r="A105" s="246" t="s">
        <v>88</v>
      </c>
      <c r="B105" s="247"/>
      <c r="C105" s="248"/>
      <c r="D105" s="11"/>
      <c r="E105" s="82"/>
      <c r="F105" s="82"/>
      <c r="G105" s="82"/>
      <c r="H105" s="31"/>
      <c r="I105" s="96">
        <f>H105</f>
        <v>0</v>
      </c>
      <c r="J105" s="82"/>
      <c r="K105" s="82"/>
      <c r="L105" s="82"/>
      <c r="M105" s="101"/>
      <c r="N105" s="71">
        <f>M105</f>
        <v>0</v>
      </c>
      <c r="O105" s="71">
        <f t="shared" si="12"/>
        <v>0</v>
      </c>
      <c r="P105" s="11"/>
    </row>
    <row r="106" spans="1:16" ht="27.65" customHeight="1" x14ac:dyDescent="0.3">
      <c r="A106" s="243" t="s">
        <v>90</v>
      </c>
      <c r="B106" s="244"/>
      <c r="C106" s="245"/>
      <c r="D106" s="16"/>
      <c r="E106" s="82"/>
      <c r="F106" s="82"/>
      <c r="G106" s="82"/>
      <c r="H106" s="83"/>
      <c r="I106" s="86"/>
      <c r="J106" s="86"/>
      <c r="K106" s="86"/>
      <c r="L106" s="86"/>
      <c r="M106" s="86"/>
      <c r="N106" s="86"/>
      <c r="O106" s="103"/>
      <c r="P106" s="86"/>
    </row>
    <row r="107" spans="1:16" ht="15.5" customHeight="1" x14ac:dyDescent="0.3">
      <c r="A107" s="246" t="s">
        <v>91</v>
      </c>
      <c r="B107" s="247"/>
      <c r="C107" s="248"/>
      <c r="D107" s="11"/>
      <c r="E107" s="109">
        <v>1</v>
      </c>
      <c r="F107" s="82"/>
      <c r="G107" s="82"/>
      <c r="H107" s="83"/>
      <c r="I107" s="96">
        <f>E107</f>
        <v>1</v>
      </c>
      <c r="J107" s="156" t="s">
        <v>170</v>
      </c>
      <c r="K107" s="82"/>
      <c r="L107" s="82"/>
      <c r="M107" s="83"/>
      <c r="N107" s="71" t="str">
        <f>J107</f>
        <v>-</v>
      </c>
      <c r="O107" s="71" t="e">
        <f t="shared" si="12"/>
        <v>#VALUE!</v>
      </c>
      <c r="P107" s="11"/>
    </row>
    <row r="108" spans="1:16" ht="15.5" customHeight="1" x14ac:dyDescent="0.3">
      <c r="A108" s="246" t="s">
        <v>92</v>
      </c>
      <c r="B108" s="247"/>
      <c r="C108" s="248"/>
      <c r="D108" s="11"/>
      <c r="E108" s="109">
        <v>1</v>
      </c>
      <c r="F108" s="82"/>
      <c r="G108" s="82"/>
      <c r="H108" s="83"/>
      <c r="I108" s="96">
        <f t="shared" ref="I108:I109" si="15">E108</f>
        <v>1</v>
      </c>
      <c r="J108" s="156" t="s">
        <v>170</v>
      </c>
      <c r="K108" s="82"/>
      <c r="L108" s="82"/>
      <c r="M108" s="83"/>
      <c r="N108" s="71" t="str">
        <f t="shared" ref="N108:N109" si="16">J108</f>
        <v>-</v>
      </c>
      <c r="O108" s="71" t="e">
        <f t="shared" si="12"/>
        <v>#VALUE!</v>
      </c>
      <c r="P108" s="11"/>
    </row>
    <row r="109" spans="1:16" ht="15.5" customHeight="1" x14ac:dyDescent="0.3">
      <c r="A109" s="246" t="s">
        <v>93</v>
      </c>
      <c r="B109" s="247"/>
      <c r="C109" s="248"/>
      <c r="D109" s="11"/>
      <c r="E109" s="109">
        <v>1</v>
      </c>
      <c r="F109" s="82"/>
      <c r="G109" s="82"/>
      <c r="H109" s="83"/>
      <c r="I109" s="96">
        <f t="shared" si="15"/>
        <v>1</v>
      </c>
      <c r="J109" s="156" t="s">
        <v>170</v>
      </c>
      <c r="K109" s="82"/>
      <c r="L109" s="82"/>
      <c r="M109" s="83"/>
      <c r="N109" s="71" t="str">
        <f t="shared" si="16"/>
        <v>-</v>
      </c>
      <c r="O109" s="71" t="e">
        <f t="shared" si="12"/>
        <v>#VALUE!</v>
      </c>
      <c r="P109" s="11"/>
    </row>
    <row r="110" spans="1:16" ht="15.5" customHeight="1" x14ac:dyDescent="0.3">
      <c r="A110" s="14"/>
      <c r="B110" s="3"/>
      <c r="C110" s="15"/>
      <c r="D110" s="11"/>
      <c r="E110" s="12"/>
      <c r="F110" s="12"/>
      <c r="G110" s="12"/>
      <c r="H110" s="26"/>
      <c r="I110" s="13"/>
      <c r="J110" s="11"/>
      <c r="K110" s="11"/>
      <c r="L110" s="11"/>
      <c r="M110" s="11"/>
      <c r="N110" s="11"/>
      <c r="O110" s="71"/>
      <c r="P110" s="11"/>
    </row>
    <row r="111" spans="1:16" x14ac:dyDescent="0.3">
      <c r="A111" s="211" t="s">
        <v>24</v>
      </c>
      <c r="B111" s="212"/>
      <c r="C111" s="213"/>
      <c r="D111" s="11"/>
      <c r="E111" s="82"/>
      <c r="F111" s="82"/>
      <c r="G111" s="82"/>
      <c r="H111" s="83"/>
      <c r="I111" s="93"/>
      <c r="J111" s="87"/>
      <c r="K111" s="87"/>
      <c r="L111" s="87"/>
      <c r="M111" s="87"/>
      <c r="N111" s="87"/>
      <c r="O111" s="103"/>
      <c r="P111" s="87"/>
    </row>
    <row r="112" spans="1:16" s="22" customFormat="1" ht="22.25" customHeight="1" x14ac:dyDescent="0.3">
      <c r="A112" s="252" t="s">
        <v>94</v>
      </c>
      <c r="B112" s="253"/>
      <c r="C112" s="254"/>
      <c r="D112" s="16"/>
      <c r="E112" s="82"/>
      <c r="F112" s="82"/>
      <c r="G112" s="82"/>
      <c r="H112" s="83"/>
      <c r="I112" s="86"/>
      <c r="J112" s="86"/>
      <c r="K112" s="86"/>
      <c r="L112" s="86"/>
      <c r="M112" s="86"/>
      <c r="N112" s="86"/>
      <c r="O112" s="103"/>
      <c r="P112" s="86"/>
    </row>
    <row r="113" spans="1:16" ht="15.5" customHeight="1" x14ac:dyDescent="0.3">
      <c r="A113" s="211" t="s">
        <v>28</v>
      </c>
      <c r="B113" s="212"/>
      <c r="C113" s="213"/>
      <c r="D113" s="11"/>
      <c r="E113" s="82"/>
      <c r="F113" s="82"/>
      <c r="G113" s="82"/>
      <c r="H113" s="63"/>
      <c r="I113" s="13">
        <f>H113</f>
        <v>0</v>
      </c>
      <c r="J113" s="82"/>
      <c r="K113" s="82"/>
      <c r="L113" s="82"/>
      <c r="M113" s="11"/>
      <c r="N113" s="12">
        <f>M113</f>
        <v>0</v>
      </c>
      <c r="O113" s="12">
        <f t="shared" si="12"/>
        <v>0</v>
      </c>
      <c r="P113" s="11"/>
    </row>
    <row r="114" spans="1:16" ht="15.5" customHeight="1" x14ac:dyDescent="0.3">
      <c r="A114" s="211" t="s">
        <v>29</v>
      </c>
      <c r="B114" s="212"/>
      <c r="C114" s="213"/>
      <c r="D114" s="11"/>
      <c r="E114" s="82"/>
      <c r="F114" s="82"/>
      <c r="G114" s="82"/>
      <c r="H114" s="63"/>
      <c r="I114" s="13">
        <f>H114</f>
        <v>0</v>
      </c>
      <c r="J114" s="82"/>
      <c r="K114" s="82"/>
      <c r="L114" s="82"/>
      <c r="M114" s="11"/>
      <c r="N114" s="12">
        <f>M114</f>
        <v>0</v>
      </c>
      <c r="O114" s="12">
        <f t="shared" si="12"/>
        <v>0</v>
      </c>
      <c r="P114" s="11"/>
    </row>
    <row r="115" spans="1:16" ht="15.5" customHeight="1" x14ac:dyDescent="0.3">
      <c r="A115" s="14"/>
      <c r="B115" s="3"/>
      <c r="C115" s="15"/>
      <c r="D115" s="11"/>
      <c r="E115" s="12"/>
      <c r="F115" s="12"/>
      <c r="G115" s="12"/>
      <c r="H115" s="26"/>
      <c r="I115" s="13"/>
      <c r="J115" s="11"/>
      <c r="K115" s="11"/>
      <c r="L115" s="11"/>
      <c r="M115" s="11"/>
      <c r="N115" s="11"/>
      <c r="O115" s="71"/>
      <c r="P115" s="11"/>
    </row>
    <row r="116" spans="1:16" ht="13" customHeight="1" x14ac:dyDescent="0.3">
      <c r="A116" s="243" t="s">
        <v>95</v>
      </c>
      <c r="B116" s="244"/>
      <c r="C116" s="245"/>
      <c r="D116" s="11"/>
      <c r="E116" s="82"/>
      <c r="F116" s="82"/>
      <c r="G116" s="82"/>
      <c r="H116" s="83"/>
      <c r="I116" s="86"/>
      <c r="J116" s="87"/>
      <c r="K116" s="87"/>
      <c r="L116" s="87"/>
      <c r="M116" s="87"/>
      <c r="N116" s="87"/>
      <c r="O116" s="103"/>
      <c r="P116" s="87"/>
    </row>
    <row r="117" spans="1:16" ht="15.5" customHeight="1" x14ac:dyDescent="0.3">
      <c r="A117" s="211" t="s">
        <v>30</v>
      </c>
      <c r="B117" s="212"/>
      <c r="C117" s="213"/>
      <c r="D117" s="11"/>
      <c r="E117" s="82"/>
      <c r="F117" s="82"/>
      <c r="G117" s="82"/>
      <c r="H117" s="26"/>
      <c r="I117" s="13">
        <f>H117</f>
        <v>0</v>
      </c>
      <c r="J117" s="82"/>
      <c r="K117" s="82"/>
      <c r="L117" s="82"/>
      <c r="M117" s="11"/>
      <c r="N117" s="12">
        <f>M117</f>
        <v>0</v>
      </c>
      <c r="O117" s="12">
        <f t="shared" si="12"/>
        <v>0</v>
      </c>
      <c r="P117" s="11"/>
    </row>
    <row r="118" spans="1:16" ht="15.5" customHeight="1" x14ac:dyDescent="0.3">
      <c r="A118" s="211" t="s">
        <v>31</v>
      </c>
      <c r="B118" s="212"/>
      <c r="C118" s="213"/>
      <c r="D118" s="11"/>
      <c r="E118" s="82"/>
      <c r="F118" s="82"/>
      <c r="G118" s="82"/>
      <c r="H118" s="26"/>
      <c r="I118" s="13">
        <f t="shared" ref="I118:I119" si="17">H118</f>
        <v>0</v>
      </c>
      <c r="J118" s="82"/>
      <c r="K118" s="82"/>
      <c r="L118" s="82"/>
      <c r="M118" s="11"/>
      <c r="N118" s="12">
        <f t="shared" ref="N118:N119" si="18">M118</f>
        <v>0</v>
      </c>
      <c r="O118" s="12">
        <f t="shared" si="12"/>
        <v>0</v>
      </c>
      <c r="P118" s="11"/>
    </row>
    <row r="119" spans="1:16" ht="15.5" customHeight="1" x14ac:dyDescent="0.3">
      <c r="A119" s="211" t="s">
        <v>32</v>
      </c>
      <c r="B119" s="212"/>
      <c r="C119" s="213"/>
      <c r="D119" s="11"/>
      <c r="E119" s="82"/>
      <c r="F119" s="82"/>
      <c r="G119" s="82"/>
      <c r="H119" s="26"/>
      <c r="I119" s="13">
        <f t="shared" si="17"/>
        <v>0</v>
      </c>
      <c r="J119" s="82"/>
      <c r="K119" s="82"/>
      <c r="L119" s="82"/>
      <c r="M119" s="11"/>
      <c r="N119" s="12">
        <f t="shared" si="18"/>
        <v>0</v>
      </c>
      <c r="O119" s="12">
        <f t="shared" si="12"/>
        <v>0</v>
      </c>
      <c r="P119" s="11"/>
    </row>
    <row r="120" spans="1:16" ht="13" customHeight="1" x14ac:dyDescent="0.3">
      <c r="A120" s="261"/>
      <c r="B120" s="262"/>
      <c r="C120" s="263"/>
      <c r="D120" s="16"/>
      <c r="E120" s="12"/>
      <c r="F120" s="12"/>
      <c r="G120" s="12"/>
      <c r="H120" s="26"/>
      <c r="I120" s="16"/>
      <c r="J120" s="16"/>
      <c r="K120" s="16"/>
      <c r="L120" s="16"/>
      <c r="M120" s="16"/>
      <c r="N120" s="16"/>
      <c r="O120" s="104"/>
      <c r="P120" s="16"/>
    </row>
    <row r="121" spans="1:16" x14ac:dyDescent="0.3">
      <c r="A121" s="208" t="s">
        <v>40</v>
      </c>
      <c r="B121" s="209"/>
      <c r="C121" s="210"/>
      <c r="D121" s="19">
        <v>310500000000000</v>
      </c>
      <c r="E121" s="105"/>
      <c r="F121" s="105"/>
      <c r="G121" s="105"/>
      <c r="H121" s="106"/>
      <c r="I121" s="107"/>
      <c r="J121" s="108"/>
      <c r="K121" s="108"/>
      <c r="L121" s="108"/>
      <c r="M121" s="108"/>
      <c r="N121" s="108"/>
      <c r="O121" s="103"/>
      <c r="P121" s="108"/>
    </row>
    <row r="122" spans="1:16" x14ac:dyDescent="0.3">
      <c r="A122" s="233" t="s">
        <v>86</v>
      </c>
      <c r="B122" s="234"/>
      <c r="C122" s="235"/>
      <c r="D122" s="87"/>
      <c r="E122" s="82"/>
      <c r="F122" s="82"/>
      <c r="G122" s="82"/>
      <c r="H122" s="83"/>
      <c r="I122" s="93"/>
      <c r="J122" s="87"/>
      <c r="K122" s="87"/>
      <c r="L122" s="87"/>
      <c r="M122" s="87"/>
      <c r="N122" s="87"/>
      <c r="O122" s="103"/>
      <c r="P122" s="87"/>
    </row>
    <row r="123" spans="1:16" s="10" customFormat="1" ht="28.25" customHeight="1" x14ac:dyDescent="0.35">
      <c r="A123" s="227" t="s">
        <v>96</v>
      </c>
      <c r="B123" s="228"/>
      <c r="C123" s="229"/>
      <c r="D123" s="12"/>
      <c r="E123" s="98"/>
      <c r="F123" s="98"/>
      <c r="G123" s="98"/>
      <c r="H123" s="68"/>
      <c r="I123" s="98" t="e">
        <f>AVERAGE(E123:H123)</f>
        <v>#DIV/0!</v>
      </c>
      <c r="J123" s="98">
        <v>0</v>
      </c>
      <c r="K123" s="12"/>
      <c r="L123" s="12"/>
      <c r="M123" s="12"/>
      <c r="N123" s="12">
        <f>AVERAGE(J123:M123)</f>
        <v>0</v>
      </c>
      <c r="O123" s="71" t="e">
        <f t="shared" si="12"/>
        <v>#DIV/0!</v>
      </c>
      <c r="P123" s="12"/>
    </row>
    <row r="124" spans="1:16" s="10" customFormat="1" ht="15.5" customHeight="1" x14ac:dyDescent="0.35">
      <c r="A124" s="72"/>
      <c r="B124" s="73"/>
      <c r="C124" s="74" t="s">
        <v>109</v>
      </c>
      <c r="D124" s="12"/>
      <c r="E124" s="98"/>
      <c r="F124" s="98"/>
      <c r="G124" s="98"/>
      <c r="H124" s="68"/>
      <c r="I124" s="98" t="e">
        <f>AVERAGE(E124:H124)</f>
        <v>#DIV/0!</v>
      </c>
      <c r="J124" s="98">
        <v>1</v>
      </c>
      <c r="K124" s="12"/>
      <c r="L124" s="12"/>
      <c r="M124" s="12"/>
      <c r="N124" s="12">
        <f>AVERAGE(J124:M124)</f>
        <v>1</v>
      </c>
      <c r="O124" s="71" t="e">
        <f t="shared" si="12"/>
        <v>#DIV/0!</v>
      </c>
      <c r="P124" s="12"/>
    </row>
    <row r="125" spans="1:16" s="10" customFormat="1" ht="15.5" customHeight="1" x14ac:dyDescent="0.35">
      <c r="A125" s="72"/>
      <c r="B125" s="73"/>
      <c r="C125" s="75" t="s">
        <v>110</v>
      </c>
      <c r="D125" s="12"/>
      <c r="E125" s="12"/>
      <c r="F125" s="12"/>
      <c r="G125" s="12"/>
      <c r="H125" s="26"/>
      <c r="I125" s="52" t="e">
        <f>AVERAGE(E125:H125)</f>
        <v>#DIV/0!</v>
      </c>
      <c r="J125" s="12">
        <v>70</v>
      </c>
      <c r="K125" s="12"/>
      <c r="L125" s="12"/>
      <c r="M125" s="12"/>
      <c r="N125" s="12">
        <f t="shared" ref="N125:N128" si="19">AVERAGE(J125:M125)</f>
        <v>70</v>
      </c>
      <c r="O125" s="71" t="e">
        <f t="shared" si="12"/>
        <v>#DIV/0!</v>
      </c>
      <c r="P125" s="12"/>
    </row>
    <row r="126" spans="1:16" s="10" customFormat="1" ht="15.5" customHeight="1" x14ac:dyDescent="0.35">
      <c r="A126" s="72"/>
      <c r="B126" s="73"/>
      <c r="C126" s="75" t="s">
        <v>56</v>
      </c>
      <c r="D126" s="12"/>
      <c r="E126" s="12"/>
      <c r="F126" s="12"/>
      <c r="G126" s="12"/>
      <c r="H126" s="26"/>
      <c r="I126" s="52" t="e">
        <f t="shared" ref="I126:I128" si="20">AVERAGE(E126:H126)</f>
        <v>#DIV/0!</v>
      </c>
      <c r="J126" s="12">
        <v>51</v>
      </c>
      <c r="K126" s="12"/>
      <c r="L126" s="12"/>
      <c r="M126" s="12"/>
      <c r="N126" s="12">
        <f t="shared" si="19"/>
        <v>51</v>
      </c>
      <c r="O126" s="71" t="e">
        <f t="shared" si="12"/>
        <v>#DIV/0!</v>
      </c>
      <c r="P126" s="12"/>
    </row>
    <row r="127" spans="1:16" s="10" customFormat="1" ht="15.5" customHeight="1" x14ac:dyDescent="0.35">
      <c r="A127" s="72"/>
      <c r="B127" s="73"/>
      <c r="C127" s="75" t="s">
        <v>57</v>
      </c>
      <c r="D127" s="12"/>
      <c r="E127" s="12"/>
      <c r="F127" s="12"/>
      <c r="G127" s="12"/>
      <c r="H127" s="26"/>
      <c r="I127" s="52" t="e">
        <f t="shared" si="20"/>
        <v>#DIV/0!</v>
      </c>
      <c r="J127" s="12">
        <v>19</v>
      </c>
      <c r="K127" s="12"/>
      <c r="L127" s="12"/>
      <c r="M127" s="12"/>
      <c r="N127" s="12">
        <f t="shared" si="19"/>
        <v>19</v>
      </c>
      <c r="O127" s="71" t="e">
        <f t="shared" si="12"/>
        <v>#DIV/0!</v>
      </c>
      <c r="P127" s="12"/>
    </row>
    <row r="128" spans="1:16" s="10" customFormat="1" ht="15.5" customHeight="1" x14ac:dyDescent="0.35">
      <c r="A128" s="72"/>
      <c r="B128" s="73"/>
      <c r="C128" s="75" t="s">
        <v>58</v>
      </c>
      <c r="D128" s="12"/>
      <c r="E128" s="12"/>
      <c r="F128" s="12"/>
      <c r="G128" s="12"/>
      <c r="H128" s="26"/>
      <c r="I128" s="52" t="e">
        <f t="shared" si="20"/>
        <v>#DIV/0!</v>
      </c>
      <c r="J128" s="12">
        <v>14</v>
      </c>
      <c r="K128" s="12"/>
      <c r="L128" s="12"/>
      <c r="M128" s="12"/>
      <c r="N128" s="12">
        <f t="shared" si="19"/>
        <v>14</v>
      </c>
      <c r="O128" s="71" t="e">
        <f t="shared" si="12"/>
        <v>#DIV/0!</v>
      </c>
      <c r="P128" s="12"/>
    </row>
    <row r="129" spans="1:16" s="10" customFormat="1" ht="15.5" customHeight="1" x14ac:dyDescent="0.35">
      <c r="A129" s="72"/>
      <c r="B129" s="73"/>
      <c r="C129" s="74"/>
      <c r="D129" s="12"/>
      <c r="E129" s="12"/>
      <c r="F129" s="12"/>
      <c r="G129" s="12"/>
      <c r="H129" s="26"/>
      <c r="I129" s="52"/>
      <c r="J129" s="12"/>
      <c r="K129" s="12"/>
      <c r="L129" s="12"/>
      <c r="M129" s="12"/>
      <c r="N129" s="12"/>
      <c r="O129" s="71"/>
      <c r="P129" s="12"/>
    </row>
    <row r="130" spans="1:16" x14ac:dyDescent="0.3">
      <c r="A130" s="224" t="s">
        <v>59</v>
      </c>
      <c r="B130" s="225"/>
      <c r="C130" s="226"/>
      <c r="D130" s="87"/>
      <c r="E130" s="82"/>
      <c r="F130" s="82"/>
      <c r="G130" s="82"/>
      <c r="H130" s="83"/>
      <c r="I130" s="93"/>
      <c r="J130" s="87"/>
      <c r="K130" s="87"/>
      <c r="L130" s="87"/>
      <c r="M130" s="87"/>
      <c r="N130" s="87"/>
      <c r="O130" s="103"/>
      <c r="P130" s="87"/>
    </row>
    <row r="131" spans="1:16" ht="31.25" customHeight="1" x14ac:dyDescent="0.3">
      <c r="A131" s="227" t="s">
        <v>97</v>
      </c>
      <c r="B131" s="228"/>
      <c r="C131" s="229"/>
      <c r="D131" s="16"/>
      <c r="E131" s="12"/>
      <c r="F131" s="12"/>
      <c r="G131" s="12"/>
      <c r="H131" s="26"/>
      <c r="I131" s="12"/>
      <c r="J131" s="16">
        <f>J132+J133</f>
        <v>435</v>
      </c>
      <c r="K131" s="16"/>
      <c r="L131" s="16"/>
      <c r="M131" s="16"/>
      <c r="N131" s="12"/>
      <c r="O131" s="12"/>
      <c r="P131" s="16"/>
    </row>
    <row r="132" spans="1:16" ht="14.5" customHeight="1" x14ac:dyDescent="0.3">
      <c r="A132" s="227" t="s">
        <v>113</v>
      </c>
      <c r="B132" s="228"/>
      <c r="C132" s="229"/>
      <c r="D132" s="16"/>
      <c r="E132" s="12"/>
      <c r="F132" s="12"/>
      <c r="G132" s="12"/>
      <c r="H132" s="26"/>
      <c r="I132" s="12">
        <f>SUM(E132:H132)</f>
        <v>0</v>
      </c>
      <c r="J132" s="16">
        <v>347</v>
      </c>
      <c r="K132" s="16"/>
      <c r="L132" s="16"/>
      <c r="M132" s="16"/>
      <c r="N132" s="12">
        <f>SUM(J132:M132)</f>
        <v>347</v>
      </c>
      <c r="O132" s="12">
        <f t="shared" ref="O132:O134" si="21">N132-I132</f>
        <v>347</v>
      </c>
      <c r="P132" s="16"/>
    </row>
    <row r="133" spans="1:16" ht="14.5" customHeight="1" x14ac:dyDescent="0.3">
      <c r="A133" s="227" t="s">
        <v>114</v>
      </c>
      <c r="B133" s="228"/>
      <c r="C133" s="229"/>
      <c r="D133" s="16"/>
      <c r="E133" s="12"/>
      <c r="F133" s="12"/>
      <c r="G133" s="12"/>
      <c r="H133" s="26"/>
      <c r="I133" s="12">
        <f>SUM(E133:H133)</f>
        <v>0</v>
      </c>
      <c r="J133" s="16">
        <v>88</v>
      </c>
      <c r="K133" s="16"/>
      <c r="L133" s="16"/>
      <c r="M133" s="16"/>
      <c r="N133" s="12">
        <f>SUM(J133:M133)</f>
        <v>88</v>
      </c>
      <c r="O133" s="12">
        <f t="shared" si="21"/>
        <v>88</v>
      </c>
      <c r="P133" s="16"/>
    </row>
    <row r="134" spans="1:16" ht="14.5" customHeight="1" x14ac:dyDescent="0.3">
      <c r="A134" s="227" t="s">
        <v>115</v>
      </c>
      <c r="B134" s="228"/>
      <c r="C134" s="229"/>
      <c r="D134" s="16"/>
      <c r="E134" s="12"/>
      <c r="F134" s="12"/>
      <c r="G134" s="12"/>
      <c r="H134" s="26"/>
      <c r="I134" s="12">
        <f>SUM(E134:H134)</f>
        <v>0</v>
      </c>
      <c r="J134" s="16">
        <v>55</v>
      </c>
      <c r="K134" s="16"/>
      <c r="L134" s="16"/>
      <c r="M134" s="16"/>
      <c r="N134" s="12">
        <f>SUM(J134:M134)</f>
        <v>55</v>
      </c>
      <c r="O134" s="12">
        <f t="shared" si="21"/>
        <v>55</v>
      </c>
      <c r="P134" s="16"/>
    </row>
    <row r="135" spans="1:16" ht="14.5" customHeight="1" x14ac:dyDescent="0.3">
      <c r="A135" s="240"/>
      <c r="B135" s="241"/>
      <c r="C135" s="242"/>
      <c r="D135" s="110"/>
      <c r="E135" s="111"/>
      <c r="F135" s="111"/>
      <c r="G135" s="111"/>
      <c r="H135" s="112"/>
      <c r="I135" s="111"/>
      <c r="J135" s="110"/>
      <c r="K135" s="110"/>
      <c r="L135" s="110"/>
      <c r="M135" s="110"/>
      <c r="N135" s="111"/>
      <c r="O135" s="111"/>
      <c r="P135" s="110"/>
    </row>
    <row r="136" spans="1:16" x14ac:dyDescent="0.3">
      <c r="A136" s="215"/>
      <c r="B136" s="215"/>
      <c r="C136" s="215"/>
    </row>
    <row r="137" spans="1:16" x14ac:dyDescent="0.3">
      <c r="A137" s="268" t="s">
        <v>34</v>
      </c>
      <c r="B137" s="268"/>
      <c r="C137" s="268"/>
      <c r="H137" s="268" t="s">
        <v>35</v>
      </c>
      <c r="I137" s="268"/>
      <c r="J137" s="268"/>
      <c r="M137" s="268" t="s">
        <v>14</v>
      </c>
      <c r="N137" s="268"/>
      <c r="O137" s="268"/>
    </row>
    <row r="138" spans="1:16" x14ac:dyDescent="0.3">
      <c r="A138" s="215"/>
      <c r="B138" s="215"/>
      <c r="C138" s="215"/>
      <c r="H138" s="215"/>
      <c r="I138" s="215"/>
      <c r="J138" s="215"/>
      <c r="M138" s="215"/>
      <c r="N138" s="215"/>
      <c r="O138" s="215"/>
    </row>
    <row r="139" spans="1:16" x14ac:dyDescent="0.3">
      <c r="A139" s="307"/>
      <c r="B139" s="307"/>
      <c r="C139" s="307"/>
      <c r="H139" s="307"/>
      <c r="I139" s="307"/>
      <c r="J139" s="307"/>
      <c r="M139" s="307"/>
      <c r="N139" s="307"/>
      <c r="O139" s="307"/>
    </row>
    <row r="140" spans="1:16" x14ac:dyDescent="0.3">
      <c r="A140" s="209"/>
      <c r="B140" s="209"/>
      <c r="C140" s="209"/>
      <c r="H140" s="209"/>
      <c r="I140" s="209"/>
      <c r="J140" s="209"/>
      <c r="M140" s="1" t="s">
        <v>33</v>
      </c>
      <c r="N140" s="1"/>
      <c r="O140" s="1"/>
      <c r="P140" s="3"/>
    </row>
    <row r="141" spans="1:16" x14ac:dyDescent="0.3">
      <c r="A141" s="267" t="s">
        <v>13</v>
      </c>
      <c r="B141" s="267"/>
      <c r="C141" s="267"/>
      <c r="H141" s="30" t="s">
        <v>13</v>
      </c>
      <c r="M141" s="267" t="s">
        <v>13</v>
      </c>
      <c r="N141" s="267"/>
      <c r="O141" s="267"/>
      <c r="P141" s="267"/>
    </row>
  </sheetData>
  <mergeCells count="117">
    <mergeCell ref="O1:P1"/>
    <mergeCell ref="O2:P2"/>
    <mergeCell ref="E4:J4"/>
    <mergeCell ref="E5:J5"/>
    <mergeCell ref="C8:D8"/>
    <mergeCell ref="C9:D9"/>
    <mergeCell ref="O13:O14"/>
    <mergeCell ref="P13:P14"/>
    <mergeCell ref="A15:C15"/>
    <mergeCell ref="A16:C16"/>
    <mergeCell ref="A17:C17"/>
    <mergeCell ref="A18:C18"/>
    <mergeCell ref="C10:D10"/>
    <mergeCell ref="C11:D11"/>
    <mergeCell ref="A13:C14"/>
    <mergeCell ref="D13:D14"/>
    <mergeCell ref="E13:I13"/>
    <mergeCell ref="J13:N13"/>
    <mergeCell ref="A28:C28"/>
    <mergeCell ref="A29:C29"/>
    <mergeCell ref="A30:C30"/>
    <mergeCell ref="A31:C31"/>
    <mergeCell ref="A32:C32"/>
    <mergeCell ref="A36:C36"/>
    <mergeCell ref="A19:C19"/>
    <mergeCell ref="A21:C21"/>
    <mergeCell ref="A23:C23"/>
    <mergeCell ref="A24:C24"/>
    <mergeCell ref="A25:C25"/>
    <mergeCell ref="A27:C27"/>
    <mergeCell ref="A50:C50"/>
    <mergeCell ref="A52:C52"/>
    <mergeCell ref="A55:C55"/>
    <mergeCell ref="A56:C56"/>
    <mergeCell ref="A58:C58"/>
    <mergeCell ref="A60:C60"/>
    <mergeCell ref="A38:C38"/>
    <mergeCell ref="A41:C41"/>
    <mergeCell ref="A42:C42"/>
    <mergeCell ref="A44:C44"/>
    <mergeCell ref="A46:C46"/>
    <mergeCell ref="A48:C48"/>
    <mergeCell ref="A69:C69"/>
    <mergeCell ref="A70:C70"/>
    <mergeCell ref="A71:C71"/>
    <mergeCell ref="A72:C72"/>
    <mergeCell ref="A73:C73"/>
    <mergeCell ref="A74:C74"/>
    <mergeCell ref="A62:C62"/>
    <mergeCell ref="A63:C63"/>
    <mergeCell ref="A64:C64"/>
    <mergeCell ref="A65:C65"/>
    <mergeCell ref="A66:C66"/>
    <mergeCell ref="A67:C67"/>
    <mergeCell ref="A83:C83"/>
    <mergeCell ref="A85:C85"/>
    <mergeCell ref="A87:C87"/>
    <mergeCell ref="A88:C88"/>
    <mergeCell ref="A89:C89"/>
    <mergeCell ref="A90:C90"/>
    <mergeCell ref="A75:C75"/>
    <mergeCell ref="A76:C76"/>
    <mergeCell ref="A77:C77"/>
    <mergeCell ref="A78:C78"/>
    <mergeCell ref="A79:C79"/>
    <mergeCell ref="A81:C81"/>
    <mergeCell ref="A97:C97"/>
    <mergeCell ref="A98:C98"/>
    <mergeCell ref="A99:C99"/>
    <mergeCell ref="A100:C100"/>
    <mergeCell ref="A101:C101"/>
    <mergeCell ref="A102:C102"/>
    <mergeCell ref="A91:C91"/>
    <mergeCell ref="A92:C92"/>
    <mergeCell ref="A93:C93"/>
    <mergeCell ref="A94:C94"/>
    <mergeCell ref="A95:C95"/>
    <mergeCell ref="A96:C96"/>
    <mergeCell ref="A109:C109"/>
    <mergeCell ref="A111:C111"/>
    <mergeCell ref="A112:C112"/>
    <mergeCell ref="A113:C113"/>
    <mergeCell ref="A114:C114"/>
    <mergeCell ref="A116:C116"/>
    <mergeCell ref="A103:C103"/>
    <mergeCell ref="A104:C104"/>
    <mergeCell ref="A105:C105"/>
    <mergeCell ref="A106:C106"/>
    <mergeCell ref="A107:C107"/>
    <mergeCell ref="A108:C108"/>
    <mergeCell ref="A123:C123"/>
    <mergeCell ref="A130:C130"/>
    <mergeCell ref="A131:C131"/>
    <mergeCell ref="A132:C132"/>
    <mergeCell ref="A133:C133"/>
    <mergeCell ref="A134:C134"/>
    <mergeCell ref="A117:C117"/>
    <mergeCell ref="A118:C118"/>
    <mergeCell ref="A119:C119"/>
    <mergeCell ref="A120:C120"/>
    <mergeCell ref="A121:C121"/>
    <mergeCell ref="A122:C122"/>
    <mergeCell ref="A139:C139"/>
    <mergeCell ref="H139:J139"/>
    <mergeCell ref="M139:O139"/>
    <mergeCell ref="A140:C140"/>
    <mergeCell ref="H140:J140"/>
    <mergeCell ref="A141:C141"/>
    <mergeCell ref="M141:P141"/>
    <mergeCell ref="A135:C135"/>
    <mergeCell ref="A136:C136"/>
    <mergeCell ref="A137:C137"/>
    <mergeCell ref="H137:J137"/>
    <mergeCell ref="M137:O137"/>
    <mergeCell ref="A138:C138"/>
    <mergeCell ref="H138:J138"/>
    <mergeCell ref="M138:O138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3FA3-B195-45A9-B39A-18C538EC98FB}">
  <dimension ref="A1:P141"/>
  <sheetViews>
    <sheetView topLeftCell="D56" zoomScale="92" zoomScaleNormal="90" workbookViewId="0">
      <selection activeCell="J65" sqref="J65:K66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121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ht="13.5" thickBot="1" x14ac:dyDescent="0.35">
      <c r="A15" s="272">
        <v>1</v>
      </c>
      <c r="B15" s="272"/>
      <c r="C15" s="272"/>
      <c r="D15" s="6">
        <v>2</v>
      </c>
      <c r="E15" s="6">
        <v>3</v>
      </c>
      <c r="F15" s="6">
        <v>4</v>
      </c>
      <c r="G15" s="6">
        <v>5</v>
      </c>
      <c r="H15" s="7">
        <v>6</v>
      </c>
      <c r="I15" s="6" t="s">
        <v>21</v>
      </c>
      <c r="J15" s="6">
        <v>8</v>
      </c>
      <c r="K15" s="6">
        <v>9</v>
      </c>
      <c r="L15" s="6">
        <v>10</v>
      </c>
      <c r="M15" s="6">
        <v>11</v>
      </c>
      <c r="N15" s="6" t="s">
        <v>22</v>
      </c>
      <c r="O15" s="6">
        <v>13</v>
      </c>
      <c r="P15" s="6">
        <v>14</v>
      </c>
    </row>
    <row r="16" spans="1:16" ht="40.25" customHeight="1" x14ac:dyDescent="0.3">
      <c r="A16" s="285" t="s">
        <v>36</v>
      </c>
      <c r="B16" s="286"/>
      <c r="C16" s="287"/>
      <c r="D16" s="8"/>
      <c r="E16" s="33"/>
      <c r="F16" s="33"/>
      <c r="G16" s="33"/>
      <c r="H16" s="28"/>
      <c r="I16" s="50"/>
      <c r="J16" s="8"/>
      <c r="K16" s="8"/>
      <c r="L16" s="8"/>
      <c r="M16" s="8"/>
      <c r="N16" s="8"/>
      <c r="O16" s="8"/>
      <c r="P16" s="8"/>
    </row>
    <row r="17" spans="1:16" ht="13.25" customHeight="1" x14ac:dyDescent="0.3">
      <c r="A17" s="275" t="s">
        <v>37</v>
      </c>
      <c r="B17" s="276"/>
      <c r="C17" s="277"/>
      <c r="D17" s="20">
        <v>310100000000000</v>
      </c>
      <c r="E17" s="34"/>
      <c r="F17" s="34"/>
      <c r="G17" s="34"/>
      <c r="H17" s="29"/>
      <c r="I17" s="51"/>
      <c r="J17" s="9"/>
      <c r="K17" s="9"/>
      <c r="L17" s="9"/>
      <c r="M17" s="9"/>
      <c r="N17" s="9"/>
      <c r="O17" s="9"/>
      <c r="P17" s="9"/>
    </row>
    <row r="18" spans="1:16" x14ac:dyDescent="0.3">
      <c r="A18" s="314" t="s">
        <v>38</v>
      </c>
      <c r="B18" s="315"/>
      <c r="C18" s="316"/>
      <c r="D18" s="11"/>
      <c r="E18" s="82"/>
      <c r="F18" s="82"/>
      <c r="G18" s="82"/>
      <c r="H18" s="83"/>
      <c r="I18" s="93"/>
      <c r="J18" s="87"/>
      <c r="K18" s="87"/>
      <c r="L18" s="87"/>
      <c r="M18" s="87"/>
      <c r="N18" s="87"/>
      <c r="O18" s="87"/>
      <c r="P18" s="87"/>
    </row>
    <row r="19" spans="1:16" s="25" customFormat="1" ht="30" customHeight="1" x14ac:dyDescent="0.35">
      <c r="A19" s="252" t="s">
        <v>43</v>
      </c>
      <c r="B19" s="253"/>
      <c r="C19" s="254"/>
      <c r="D19" s="24"/>
      <c r="E19" s="76"/>
      <c r="F19" s="76"/>
      <c r="G19" s="76"/>
      <c r="H19" s="77"/>
      <c r="I19" s="78" t="e">
        <f>AVERAGE(E19:H19)</f>
        <v>#DIV/0!</v>
      </c>
      <c r="J19" s="97" t="s">
        <v>170</v>
      </c>
      <c r="K19" s="97"/>
      <c r="L19" s="97"/>
      <c r="M19" s="97"/>
      <c r="N19" s="98" t="e">
        <f>AVERAGE(J19:M19)</f>
        <v>#DIV/0!</v>
      </c>
      <c r="O19" s="71" t="e">
        <f>N19-I19</f>
        <v>#DIV/0!</v>
      </c>
      <c r="P19" s="24"/>
    </row>
    <row r="20" spans="1:16" s="25" customFormat="1" ht="19.75" customHeight="1" x14ac:dyDescent="0.35">
      <c r="A20" s="21"/>
      <c r="B20" s="22"/>
      <c r="C20" s="23"/>
      <c r="D20" s="24"/>
      <c r="E20" s="12"/>
      <c r="F20" s="12"/>
      <c r="G20" s="12"/>
      <c r="H20" s="54"/>
      <c r="I20" s="53"/>
      <c r="J20" s="24"/>
      <c r="K20" s="24"/>
      <c r="L20" s="24"/>
      <c r="M20" s="24"/>
      <c r="N20" s="24"/>
      <c r="O20" s="71"/>
      <c r="P20" s="24"/>
    </row>
    <row r="21" spans="1:16" s="25" customFormat="1" ht="14" customHeight="1" x14ac:dyDescent="0.35">
      <c r="A21" s="252" t="s">
        <v>44</v>
      </c>
      <c r="B21" s="253"/>
      <c r="C21" s="254"/>
      <c r="D21" s="24"/>
      <c r="E21" s="76"/>
      <c r="F21" s="76"/>
      <c r="G21" s="76"/>
      <c r="H21" s="77"/>
      <c r="I21" s="79" t="e">
        <f>AVERAGE(E21:H21)</f>
        <v>#DIV/0!</v>
      </c>
      <c r="J21" s="24" t="s">
        <v>170</v>
      </c>
      <c r="K21" s="24"/>
      <c r="L21" s="24"/>
      <c r="M21" s="24"/>
      <c r="N21" s="12" t="e">
        <f>AVERAGE(J21:M21)</f>
        <v>#DIV/0!</v>
      </c>
      <c r="O21" s="71" t="e">
        <f t="shared" ref="O21:O84" si="0">N21-I21</f>
        <v>#DIV/0!</v>
      </c>
      <c r="P21" s="24"/>
    </row>
    <row r="22" spans="1:16" s="25" customFormat="1" ht="14" customHeight="1" x14ac:dyDescent="0.35">
      <c r="A22" s="21"/>
      <c r="B22" s="22"/>
      <c r="C22" s="23"/>
      <c r="D22" s="24"/>
      <c r="E22" s="12"/>
      <c r="F22" s="12"/>
      <c r="G22" s="12"/>
      <c r="H22" s="31"/>
      <c r="I22" s="52"/>
      <c r="J22" s="24"/>
      <c r="K22" s="24"/>
      <c r="L22" s="24"/>
      <c r="M22" s="24"/>
      <c r="N22" s="24"/>
      <c r="O22" s="71"/>
      <c r="P22" s="24"/>
    </row>
    <row r="23" spans="1:16" x14ac:dyDescent="0.3">
      <c r="A23" s="288" t="s">
        <v>39</v>
      </c>
      <c r="B23" s="289"/>
      <c r="C23" s="290"/>
      <c r="D23" s="11"/>
      <c r="E23" s="82"/>
      <c r="F23" s="82"/>
      <c r="G23" s="82"/>
      <c r="H23" s="83"/>
      <c r="I23" s="93"/>
      <c r="J23" s="87"/>
      <c r="K23" s="87"/>
      <c r="L23" s="87"/>
      <c r="M23" s="87"/>
      <c r="N23" s="87"/>
      <c r="O23" s="103"/>
      <c r="P23" s="87"/>
    </row>
    <row r="24" spans="1:16" x14ac:dyDescent="0.3">
      <c r="A24" s="291" t="s">
        <v>55</v>
      </c>
      <c r="B24" s="292"/>
      <c r="C24" s="293"/>
      <c r="D24" s="11"/>
      <c r="E24" s="76"/>
      <c r="F24" s="76"/>
      <c r="G24" s="76"/>
      <c r="H24" s="80"/>
      <c r="I24" s="81">
        <f>SUM(E24:H24)</f>
        <v>0</v>
      </c>
      <c r="J24" s="16" t="s">
        <v>170</v>
      </c>
      <c r="K24" s="11"/>
      <c r="L24" s="11"/>
      <c r="M24" s="11"/>
      <c r="N24" s="12">
        <f>SUM(J24:M24)</f>
        <v>0</v>
      </c>
      <c r="O24" s="12">
        <f t="shared" si="0"/>
        <v>0</v>
      </c>
      <c r="P24" s="11"/>
    </row>
    <row r="25" spans="1:16" x14ac:dyDescent="0.3">
      <c r="A25" s="291" t="s">
        <v>53</v>
      </c>
      <c r="B25" s="292"/>
      <c r="C25" s="293"/>
      <c r="D25" s="11"/>
      <c r="E25" s="12"/>
      <c r="F25" s="12"/>
      <c r="G25" s="12"/>
      <c r="H25" s="26"/>
      <c r="I25" s="55">
        <f>SUM(E25:H25)</f>
        <v>0</v>
      </c>
      <c r="J25" s="16">
        <v>1</v>
      </c>
      <c r="K25" s="11"/>
      <c r="L25" s="11"/>
      <c r="M25" s="11"/>
      <c r="N25" s="12">
        <f t="shared" ref="N25:N26" si="1">SUM(J25:M25)</f>
        <v>1</v>
      </c>
      <c r="O25" s="12">
        <f t="shared" si="0"/>
        <v>1</v>
      </c>
      <c r="P25" s="11"/>
    </row>
    <row r="26" spans="1:16" x14ac:dyDescent="0.3">
      <c r="A26" s="17"/>
      <c r="B26" s="18"/>
      <c r="C26" s="35" t="s">
        <v>45</v>
      </c>
      <c r="D26" s="11"/>
      <c r="E26" s="12"/>
      <c r="F26" s="12"/>
      <c r="G26" s="12"/>
      <c r="H26" s="26"/>
      <c r="I26" s="55">
        <f>SUM(E26:H26)</f>
        <v>0</v>
      </c>
      <c r="J26" s="16" t="s">
        <v>170</v>
      </c>
      <c r="K26" s="11"/>
      <c r="L26" s="11"/>
      <c r="M26" s="11"/>
      <c r="N26" s="12">
        <f t="shared" si="1"/>
        <v>0</v>
      </c>
      <c r="O26" s="12">
        <f t="shared" si="0"/>
        <v>0</v>
      </c>
      <c r="P26" s="11"/>
    </row>
    <row r="27" spans="1:16" x14ac:dyDescent="0.3">
      <c r="A27" s="291" t="s">
        <v>54</v>
      </c>
      <c r="B27" s="292"/>
      <c r="C27" s="293"/>
      <c r="D27" s="11"/>
      <c r="E27" s="76"/>
      <c r="F27" s="76"/>
      <c r="G27" s="76"/>
      <c r="H27" s="80"/>
      <c r="I27" s="81">
        <f>SUM(E27:H27)</f>
        <v>0</v>
      </c>
      <c r="J27" s="16" t="s">
        <v>170</v>
      </c>
      <c r="K27" s="11"/>
      <c r="L27" s="11"/>
      <c r="M27" s="11"/>
      <c r="N27" s="12">
        <f>SUM(J27:M27)</f>
        <v>0</v>
      </c>
      <c r="O27" s="12">
        <f t="shared" si="0"/>
        <v>0</v>
      </c>
      <c r="P27" s="11"/>
    </row>
    <row r="28" spans="1:16" x14ac:dyDescent="0.3">
      <c r="A28" s="214"/>
      <c r="B28" s="215"/>
      <c r="C28" s="216"/>
      <c r="D28" s="11"/>
      <c r="E28" s="12"/>
      <c r="F28" s="12"/>
      <c r="G28" s="12"/>
      <c r="H28" s="26"/>
      <c r="I28" s="13"/>
      <c r="J28" s="11"/>
      <c r="K28" s="11"/>
      <c r="L28" s="11"/>
      <c r="M28" s="11"/>
      <c r="N28" s="11"/>
      <c r="O28" s="104"/>
      <c r="P28" s="11"/>
    </row>
    <row r="29" spans="1:16" x14ac:dyDescent="0.3">
      <c r="A29" s="208" t="s">
        <v>47</v>
      </c>
      <c r="B29" s="209"/>
      <c r="C29" s="210"/>
      <c r="D29" s="20">
        <v>310200000000000</v>
      </c>
      <c r="E29" s="34"/>
      <c r="F29" s="34"/>
      <c r="G29" s="34"/>
      <c r="H29" s="29"/>
      <c r="I29" s="51"/>
      <c r="J29" s="9"/>
      <c r="K29" s="9"/>
      <c r="L29" s="9"/>
      <c r="M29" s="9"/>
      <c r="N29" s="9"/>
      <c r="O29" s="71"/>
      <c r="P29" s="9"/>
    </row>
    <row r="30" spans="1:16" x14ac:dyDescent="0.3">
      <c r="A30" s="224" t="s">
        <v>48</v>
      </c>
      <c r="B30" s="225"/>
      <c r="C30" s="226"/>
      <c r="D30" s="11"/>
      <c r="E30" s="82"/>
      <c r="F30" s="82"/>
      <c r="G30" s="82"/>
      <c r="H30" s="83"/>
      <c r="I30" s="93"/>
      <c r="J30" s="87"/>
      <c r="K30" s="87"/>
      <c r="L30" s="87"/>
      <c r="M30" s="87"/>
      <c r="N30" s="87"/>
      <c r="O30" s="103"/>
      <c r="P30" s="87"/>
    </row>
    <row r="31" spans="1:16" s="10" customFormat="1" ht="31.75" customHeight="1" x14ac:dyDescent="0.3">
      <c r="A31" s="252" t="s">
        <v>49</v>
      </c>
      <c r="B31" s="253"/>
      <c r="C31" s="254"/>
      <c r="D31" s="16"/>
      <c r="E31" s="82"/>
      <c r="F31" s="82"/>
      <c r="G31" s="82"/>
      <c r="H31" s="83"/>
      <c r="I31" s="86"/>
      <c r="J31" s="86"/>
      <c r="K31" s="86"/>
      <c r="L31" s="86"/>
      <c r="M31" s="86"/>
      <c r="N31" s="86"/>
      <c r="O31" s="103"/>
      <c r="P31" s="86"/>
    </row>
    <row r="32" spans="1:16" ht="15.5" customHeight="1" x14ac:dyDescent="0.3">
      <c r="A32" s="211" t="s">
        <v>25</v>
      </c>
      <c r="B32" s="212"/>
      <c r="C32" s="213"/>
      <c r="D32" s="11"/>
      <c r="E32" s="82"/>
      <c r="F32" s="36"/>
      <c r="G32" s="82"/>
      <c r="H32" s="83"/>
      <c r="I32" s="92">
        <f>F32</f>
        <v>0</v>
      </c>
      <c r="J32" s="82"/>
      <c r="K32" s="36"/>
      <c r="L32" s="82"/>
      <c r="M32" s="83"/>
      <c r="N32" s="92">
        <f>K32</f>
        <v>0</v>
      </c>
      <c r="O32" s="71">
        <f t="shared" si="0"/>
        <v>0</v>
      </c>
      <c r="P32" s="11"/>
    </row>
    <row r="33" spans="1:16" ht="15.5" customHeight="1" x14ac:dyDescent="0.3">
      <c r="A33" s="14"/>
      <c r="B33" s="3"/>
      <c r="C33" s="15" t="s">
        <v>108</v>
      </c>
      <c r="D33" s="11"/>
      <c r="E33" s="82"/>
      <c r="F33" s="12"/>
      <c r="G33" s="82"/>
      <c r="H33" s="83"/>
      <c r="I33" s="13">
        <f t="shared" ref="I33:I39" si="2">F33</f>
        <v>0</v>
      </c>
      <c r="J33" s="82"/>
      <c r="K33" s="12"/>
      <c r="L33" s="82"/>
      <c r="M33" s="83"/>
      <c r="N33" s="13">
        <f t="shared" ref="N33:N39" si="3">K33</f>
        <v>0</v>
      </c>
      <c r="O33" s="12">
        <f t="shared" si="0"/>
        <v>0</v>
      </c>
      <c r="P33" s="11"/>
    </row>
    <row r="34" spans="1:16" ht="15.5" customHeight="1" x14ac:dyDescent="0.3">
      <c r="A34" s="14"/>
      <c r="B34" s="3"/>
      <c r="C34" s="70" t="s">
        <v>107</v>
      </c>
      <c r="D34" s="11"/>
      <c r="E34" s="82"/>
      <c r="F34" s="36"/>
      <c r="G34" s="82"/>
      <c r="H34" s="83"/>
      <c r="I34" s="92">
        <f t="shared" si="2"/>
        <v>0</v>
      </c>
      <c r="J34" s="82"/>
      <c r="K34" s="36"/>
      <c r="L34" s="82"/>
      <c r="M34" s="83"/>
      <c r="N34" s="92">
        <f t="shared" si="3"/>
        <v>0</v>
      </c>
      <c r="O34" s="71">
        <f t="shared" si="0"/>
        <v>0</v>
      </c>
      <c r="P34" s="11"/>
    </row>
    <row r="35" spans="1:16" ht="15.5" customHeight="1" x14ac:dyDescent="0.3">
      <c r="A35" s="14"/>
      <c r="B35" s="3"/>
      <c r="C35" s="15" t="s">
        <v>108</v>
      </c>
      <c r="D35" s="11"/>
      <c r="E35" s="82"/>
      <c r="F35" s="12"/>
      <c r="G35" s="82"/>
      <c r="H35" s="83"/>
      <c r="I35" s="13">
        <f t="shared" si="2"/>
        <v>0</v>
      </c>
      <c r="J35" s="82"/>
      <c r="K35" s="36"/>
      <c r="L35" s="82"/>
      <c r="M35" s="83"/>
      <c r="N35" s="13">
        <f t="shared" si="3"/>
        <v>0</v>
      </c>
      <c r="O35" s="12">
        <f t="shared" si="0"/>
        <v>0</v>
      </c>
      <c r="P35" s="11"/>
    </row>
    <row r="36" spans="1:16" ht="15.5" customHeight="1" x14ac:dyDescent="0.3">
      <c r="A36" s="211" t="s">
        <v>26</v>
      </c>
      <c r="B36" s="212"/>
      <c r="C36" s="213"/>
      <c r="D36" s="11"/>
      <c r="E36" s="82"/>
      <c r="F36" s="36"/>
      <c r="G36" s="82"/>
      <c r="H36" s="83"/>
      <c r="I36" s="92">
        <f t="shared" si="2"/>
        <v>0</v>
      </c>
      <c r="J36" s="82"/>
      <c r="K36" s="36"/>
      <c r="L36" s="82"/>
      <c r="M36" s="83"/>
      <c r="N36" s="92">
        <f t="shared" si="3"/>
        <v>0</v>
      </c>
      <c r="O36" s="71">
        <f t="shared" si="0"/>
        <v>0</v>
      </c>
      <c r="P36" s="11"/>
    </row>
    <row r="37" spans="1:16" ht="15.5" customHeight="1" x14ac:dyDescent="0.3">
      <c r="A37" s="14"/>
      <c r="B37" s="3"/>
      <c r="C37" s="15" t="s">
        <v>108</v>
      </c>
      <c r="D37" s="11"/>
      <c r="E37" s="82"/>
      <c r="F37" s="12"/>
      <c r="G37" s="82"/>
      <c r="H37" s="83"/>
      <c r="I37" s="13">
        <f t="shared" si="2"/>
        <v>0</v>
      </c>
      <c r="J37" s="82"/>
      <c r="K37" s="12"/>
      <c r="L37" s="82"/>
      <c r="M37" s="83"/>
      <c r="N37" s="13">
        <f t="shared" si="3"/>
        <v>0</v>
      </c>
      <c r="O37" s="12">
        <f t="shared" si="0"/>
        <v>0</v>
      </c>
      <c r="P37" s="11"/>
    </row>
    <row r="38" spans="1:16" ht="15.5" customHeight="1" x14ac:dyDescent="0.3">
      <c r="A38" s="211" t="s">
        <v>27</v>
      </c>
      <c r="B38" s="212"/>
      <c r="C38" s="213"/>
      <c r="D38" s="11"/>
      <c r="E38" s="82"/>
      <c r="F38" s="36"/>
      <c r="G38" s="82"/>
      <c r="H38" s="83"/>
      <c r="I38" s="92">
        <f t="shared" si="2"/>
        <v>0</v>
      </c>
      <c r="J38" s="82"/>
      <c r="K38" s="36"/>
      <c r="L38" s="82"/>
      <c r="M38" s="83"/>
      <c r="N38" s="92">
        <f t="shared" si="3"/>
        <v>0</v>
      </c>
      <c r="O38" s="71">
        <f t="shared" si="0"/>
        <v>0</v>
      </c>
      <c r="P38" s="11"/>
    </row>
    <row r="39" spans="1:16" ht="15.5" customHeight="1" x14ac:dyDescent="0.3">
      <c r="A39" s="14"/>
      <c r="B39" s="3"/>
      <c r="C39" s="15" t="s">
        <v>108</v>
      </c>
      <c r="D39" s="11"/>
      <c r="E39" s="82"/>
      <c r="F39" s="12"/>
      <c r="G39" s="82"/>
      <c r="H39" s="83"/>
      <c r="I39" s="13">
        <f t="shared" si="2"/>
        <v>0</v>
      </c>
      <c r="J39" s="82"/>
      <c r="K39" s="12"/>
      <c r="L39" s="82"/>
      <c r="M39" s="83"/>
      <c r="N39" s="13">
        <f t="shared" si="3"/>
        <v>0</v>
      </c>
      <c r="O39" s="12">
        <f t="shared" si="0"/>
        <v>0</v>
      </c>
      <c r="P39" s="11"/>
    </row>
    <row r="40" spans="1:16" ht="15.5" customHeight="1" x14ac:dyDescent="0.3">
      <c r="A40" s="14"/>
      <c r="B40" s="3"/>
      <c r="C40" s="15"/>
      <c r="D40" s="11"/>
      <c r="E40" s="12"/>
      <c r="F40" s="12"/>
      <c r="G40" s="12"/>
      <c r="H40" s="26"/>
      <c r="I40" s="13"/>
      <c r="J40" s="12"/>
      <c r="K40" s="12"/>
      <c r="L40" s="12"/>
      <c r="M40" s="26"/>
      <c r="N40" s="13"/>
      <c r="O40" s="71"/>
      <c r="P40" s="11"/>
    </row>
    <row r="41" spans="1:16" ht="25.25" customHeight="1" x14ac:dyDescent="0.3">
      <c r="A41" s="243" t="s">
        <v>46</v>
      </c>
      <c r="B41" s="244"/>
      <c r="C41" s="245"/>
      <c r="D41" s="16"/>
      <c r="E41" s="82"/>
      <c r="F41" s="82"/>
      <c r="G41" s="82"/>
      <c r="H41" s="83"/>
      <c r="I41" s="86"/>
      <c r="J41" s="82"/>
      <c r="K41" s="82"/>
      <c r="L41" s="82"/>
      <c r="M41" s="83"/>
      <c r="N41" s="86"/>
      <c r="O41" s="103"/>
      <c r="P41" s="86"/>
    </row>
    <row r="42" spans="1:16" ht="15.5" customHeight="1" x14ac:dyDescent="0.3">
      <c r="A42" s="304" t="s">
        <v>102</v>
      </c>
      <c r="B42" s="305"/>
      <c r="C42" s="306"/>
      <c r="D42" s="11"/>
      <c r="E42" s="82"/>
      <c r="F42" s="36"/>
      <c r="G42" s="82"/>
      <c r="H42" s="83"/>
      <c r="I42" s="92">
        <f>F42</f>
        <v>0</v>
      </c>
      <c r="J42" s="82"/>
      <c r="K42" s="94"/>
      <c r="L42" s="82"/>
      <c r="M42" s="83"/>
      <c r="N42" s="96">
        <f>K42</f>
        <v>0</v>
      </c>
      <c r="O42" s="71">
        <f t="shared" si="0"/>
        <v>0</v>
      </c>
      <c r="P42" s="11"/>
    </row>
    <row r="43" spans="1:16" ht="15.5" customHeight="1" x14ac:dyDescent="0.3">
      <c r="A43" s="46"/>
      <c r="B43" s="47"/>
      <c r="C43" s="15" t="s">
        <v>108</v>
      </c>
      <c r="D43" s="11"/>
      <c r="E43" s="82"/>
      <c r="F43" s="12"/>
      <c r="G43" s="82"/>
      <c r="H43" s="83"/>
      <c r="I43" s="13">
        <f t="shared" ref="I43:I53" si="4">F43</f>
        <v>0</v>
      </c>
      <c r="J43" s="82"/>
      <c r="K43" s="95"/>
      <c r="L43" s="82"/>
      <c r="M43" s="83"/>
      <c r="N43" s="13">
        <f t="shared" ref="N43:N53" si="5">K43</f>
        <v>0</v>
      </c>
      <c r="O43" s="12">
        <f t="shared" si="0"/>
        <v>0</v>
      </c>
      <c r="P43" s="11"/>
    </row>
    <row r="44" spans="1:16" ht="15.5" customHeight="1" x14ac:dyDescent="0.3">
      <c r="A44" s="304" t="s">
        <v>103</v>
      </c>
      <c r="B44" s="305"/>
      <c r="C44" s="306"/>
      <c r="D44" s="11"/>
      <c r="E44" s="82"/>
      <c r="F44" s="36"/>
      <c r="G44" s="82"/>
      <c r="H44" s="83"/>
      <c r="I44" s="92">
        <f t="shared" si="4"/>
        <v>0</v>
      </c>
      <c r="J44" s="82"/>
      <c r="K44" s="94"/>
      <c r="L44" s="82"/>
      <c r="M44" s="83"/>
      <c r="N44" s="96">
        <f t="shared" si="5"/>
        <v>0</v>
      </c>
      <c r="O44" s="71">
        <f t="shared" si="0"/>
        <v>0</v>
      </c>
      <c r="P44" s="11"/>
    </row>
    <row r="45" spans="1:16" ht="15.5" customHeight="1" x14ac:dyDescent="0.3">
      <c r="A45" s="46"/>
      <c r="B45" s="47"/>
      <c r="C45" s="15" t="s">
        <v>108</v>
      </c>
      <c r="D45" s="11"/>
      <c r="E45" s="82"/>
      <c r="F45" s="12"/>
      <c r="G45" s="82"/>
      <c r="H45" s="83"/>
      <c r="I45" s="13">
        <f t="shared" si="4"/>
        <v>0</v>
      </c>
      <c r="J45" s="82"/>
      <c r="K45" s="95"/>
      <c r="L45" s="82"/>
      <c r="M45" s="83"/>
      <c r="N45" s="13">
        <f t="shared" si="5"/>
        <v>0</v>
      </c>
      <c r="O45" s="12">
        <f t="shared" si="0"/>
        <v>0</v>
      </c>
      <c r="P45" s="11"/>
    </row>
    <row r="46" spans="1:16" ht="15.5" customHeight="1" x14ac:dyDescent="0.3">
      <c r="A46" s="304" t="s">
        <v>104</v>
      </c>
      <c r="B46" s="305"/>
      <c r="C46" s="306"/>
      <c r="D46" s="11"/>
      <c r="E46" s="82"/>
      <c r="F46" s="94"/>
      <c r="G46" s="82"/>
      <c r="H46" s="83"/>
      <c r="I46" s="92">
        <f t="shared" si="4"/>
        <v>0</v>
      </c>
      <c r="J46" s="82"/>
      <c r="K46" s="94"/>
      <c r="L46" s="82"/>
      <c r="M46" s="83"/>
      <c r="N46" s="96">
        <f t="shared" si="5"/>
        <v>0</v>
      </c>
      <c r="O46" s="71">
        <f t="shared" si="0"/>
        <v>0</v>
      </c>
      <c r="P46" s="11"/>
    </row>
    <row r="47" spans="1:16" ht="15.5" customHeight="1" x14ac:dyDescent="0.3">
      <c r="A47" s="46"/>
      <c r="B47" s="47"/>
      <c r="C47" s="15" t="s">
        <v>108</v>
      </c>
      <c r="D47" s="11"/>
      <c r="E47" s="82"/>
      <c r="F47" s="12"/>
      <c r="G47" s="82"/>
      <c r="H47" s="83"/>
      <c r="I47" s="13">
        <f t="shared" si="4"/>
        <v>0</v>
      </c>
      <c r="J47" s="82"/>
      <c r="K47" s="95"/>
      <c r="L47" s="82"/>
      <c r="M47" s="83"/>
      <c r="N47" s="13">
        <f t="shared" si="5"/>
        <v>0</v>
      </c>
      <c r="O47" s="12">
        <f t="shared" si="0"/>
        <v>0</v>
      </c>
      <c r="P47" s="11"/>
    </row>
    <row r="48" spans="1:16" ht="15.5" customHeight="1" x14ac:dyDescent="0.3">
      <c r="A48" s="304" t="s">
        <v>105</v>
      </c>
      <c r="B48" s="305"/>
      <c r="C48" s="306"/>
      <c r="D48" s="11"/>
      <c r="E48" s="82"/>
      <c r="F48" s="36"/>
      <c r="G48" s="82"/>
      <c r="H48" s="83"/>
      <c r="I48" s="92">
        <f t="shared" si="4"/>
        <v>0</v>
      </c>
      <c r="J48" s="82"/>
      <c r="K48" s="94"/>
      <c r="L48" s="82"/>
      <c r="M48" s="83"/>
      <c r="N48" s="96">
        <f t="shared" si="5"/>
        <v>0</v>
      </c>
      <c r="O48" s="71">
        <f t="shared" si="0"/>
        <v>0</v>
      </c>
      <c r="P48" s="11"/>
    </row>
    <row r="49" spans="1:16" ht="15.5" customHeight="1" x14ac:dyDescent="0.3">
      <c r="A49" s="46"/>
      <c r="B49" s="47"/>
      <c r="C49" s="15" t="s">
        <v>108</v>
      </c>
      <c r="D49" s="11"/>
      <c r="E49" s="82"/>
      <c r="F49" s="12"/>
      <c r="G49" s="82"/>
      <c r="H49" s="83"/>
      <c r="I49" s="13">
        <f t="shared" si="4"/>
        <v>0</v>
      </c>
      <c r="J49" s="82"/>
      <c r="K49" s="95"/>
      <c r="L49" s="82"/>
      <c r="M49" s="83"/>
      <c r="N49" s="13">
        <f t="shared" si="5"/>
        <v>0</v>
      </c>
      <c r="O49" s="12">
        <f t="shared" si="0"/>
        <v>0</v>
      </c>
      <c r="P49" s="11"/>
    </row>
    <row r="50" spans="1:16" ht="15.5" customHeight="1" x14ac:dyDescent="0.3">
      <c r="A50" s="304" t="s">
        <v>106</v>
      </c>
      <c r="B50" s="305"/>
      <c r="C50" s="306"/>
      <c r="D50" s="11"/>
      <c r="E50" s="82"/>
      <c r="F50" s="36"/>
      <c r="G50" s="82"/>
      <c r="H50" s="83"/>
      <c r="I50" s="92">
        <f t="shared" si="4"/>
        <v>0</v>
      </c>
      <c r="J50" s="82"/>
      <c r="K50" s="94"/>
      <c r="L50" s="82"/>
      <c r="M50" s="83"/>
      <c r="N50" s="96">
        <f t="shared" si="5"/>
        <v>0</v>
      </c>
      <c r="O50" s="71">
        <f t="shared" si="0"/>
        <v>0</v>
      </c>
      <c r="P50" s="11"/>
    </row>
    <row r="51" spans="1:16" ht="15.5" customHeight="1" x14ac:dyDescent="0.3">
      <c r="A51" s="46"/>
      <c r="B51" s="47"/>
      <c r="C51" s="15" t="s">
        <v>108</v>
      </c>
      <c r="D51" s="11"/>
      <c r="E51" s="82"/>
      <c r="F51" s="12"/>
      <c r="G51" s="82"/>
      <c r="H51" s="83"/>
      <c r="I51" s="13">
        <f t="shared" si="4"/>
        <v>0</v>
      </c>
      <c r="J51" s="82"/>
      <c r="K51" s="95"/>
      <c r="L51" s="82"/>
      <c r="M51" s="83"/>
      <c r="N51" s="13">
        <f t="shared" si="5"/>
        <v>0</v>
      </c>
      <c r="O51" s="12">
        <f t="shared" si="0"/>
        <v>0</v>
      </c>
      <c r="P51" s="11"/>
    </row>
    <row r="52" spans="1:16" ht="15.5" customHeight="1" x14ac:dyDescent="0.3">
      <c r="A52" s="304" t="s">
        <v>111</v>
      </c>
      <c r="B52" s="305"/>
      <c r="C52" s="306"/>
      <c r="D52" s="11"/>
      <c r="E52" s="82"/>
      <c r="F52" s="94"/>
      <c r="G52" s="82"/>
      <c r="H52" s="83"/>
      <c r="I52" s="92">
        <f t="shared" si="4"/>
        <v>0</v>
      </c>
      <c r="J52" s="82"/>
      <c r="K52" s="94"/>
      <c r="L52" s="82"/>
      <c r="M52" s="83"/>
      <c r="N52" s="96">
        <f t="shared" si="5"/>
        <v>0</v>
      </c>
      <c r="O52" s="71">
        <f t="shared" si="0"/>
        <v>0</v>
      </c>
      <c r="P52" s="11"/>
    </row>
    <row r="53" spans="1:16" ht="15.5" customHeight="1" x14ac:dyDescent="0.3">
      <c r="A53" s="37"/>
      <c r="B53" s="38"/>
      <c r="C53" s="15" t="s">
        <v>108</v>
      </c>
      <c r="D53" s="11"/>
      <c r="E53" s="82"/>
      <c r="F53" s="12"/>
      <c r="G53" s="82"/>
      <c r="H53" s="83"/>
      <c r="I53" s="13">
        <f t="shared" si="4"/>
        <v>0</v>
      </c>
      <c r="J53" s="82"/>
      <c r="K53" s="95"/>
      <c r="L53" s="82"/>
      <c r="M53" s="83"/>
      <c r="N53" s="13">
        <f t="shared" si="5"/>
        <v>0</v>
      </c>
      <c r="O53" s="12">
        <f t="shared" si="0"/>
        <v>0</v>
      </c>
      <c r="P53" s="11"/>
    </row>
    <row r="54" spans="1:16" ht="15.5" customHeight="1" x14ac:dyDescent="0.3">
      <c r="A54" s="37"/>
      <c r="B54" s="38"/>
      <c r="C54" s="39"/>
      <c r="D54" s="11"/>
      <c r="E54" s="12"/>
      <c r="F54" s="12"/>
      <c r="G54" s="12"/>
      <c r="H54" s="26"/>
      <c r="I54" s="13"/>
      <c r="J54" s="12"/>
      <c r="K54" s="12"/>
      <c r="L54" s="12"/>
      <c r="M54" s="26"/>
      <c r="N54" s="13"/>
      <c r="O54" s="71"/>
      <c r="P54" s="11"/>
    </row>
    <row r="55" spans="1:16" ht="25.75" customHeight="1" x14ac:dyDescent="0.3">
      <c r="A55" s="243" t="s">
        <v>52</v>
      </c>
      <c r="B55" s="244"/>
      <c r="C55" s="245"/>
      <c r="D55" s="16"/>
      <c r="E55" s="82"/>
      <c r="F55" s="82"/>
      <c r="G55" s="82"/>
      <c r="H55" s="83"/>
      <c r="I55" s="86"/>
      <c r="J55" s="82"/>
      <c r="K55" s="82"/>
      <c r="L55" s="82"/>
      <c r="M55" s="83"/>
      <c r="N55" s="86"/>
      <c r="O55" s="103"/>
      <c r="P55" s="86"/>
    </row>
    <row r="56" spans="1:16" ht="15.5" customHeight="1" x14ac:dyDescent="0.3">
      <c r="A56" s="246" t="s">
        <v>56</v>
      </c>
      <c r="B56" s="247"/>
      <c r="C56" s="248"/>
      <c r="D56" s="11"/>
      <c r="E56" s="82"/>
      <c r="F56" s="82"/>
      <c r="G56" s="82"/>
      <c r="H56" s="31"/>
      <c r="I56" s="92">
        <f>H56</f>
        <v>0</v>
      </c>
      <c r="J56" s="82"/>
      <c r="K56" s="82"/>
      <c r="L56" s="82"/>
      <c r="M56" s="31"/>
      <c r="N56" s="92">
        <f>M56</f>
        <v>0</v>
      </c>
      <c r="O56" s="71">
        <f t="shared" si="0"/>
        <v>0</v>
      </c>
      <c r="P56" s="11"/>
    </row>
    <row r="57" spans="1:16" ht="15.5" customHeight="1" x14ac:dyDescent="0.3">
      <c r="A57" s="40"/>
      <c r="B57" s="41"/>
      <c r="C57" s="15" t="s">
        <v>108</v>
      </c>
      <c r="D57" s="11"/>
      <c r="E57" s="82"/>
      <c r="F57" s="82"/>
      <c r="G57" s="82"/>
      <c r="H57" s="26"/>
      <c r="I57" s="13">
        <f t="shared" ref="I57:I61" si="6">H57</f>
        <v>0</v>
      </c>
      <c r="J57" s="82"/>
      <c r="K57" s="82"/>
      <c r="L57" s="82"/>
      <c r="M57" s="26"/>
      <c r="N57" s="13">
        <f t="shared" ref="N57:N61" si="7">M57</f>
        <v>0</v>
      </c>
      <c r="O57" s="12">
        <f t="shared" si="0"/>
        <v>0</v>
      </c>
      <c r="P57" s="11"/>
    </row>
    <row r="58" spans="1:16" ht="15.5" customHeight="1" x14ac:dyDescent="0.3">
      <c r="A58" s="246" t="s">
        <v>57</v>
      </c>
      <c r="B58" s="247"/>
      <c r="C58" s="248"/>
      <c r="D58" s="11"/>
      <c r="E58" s="82"/>
      <c r="F58" s="82"/>
      <c r="G58" s="82"/>
      <c r="H58" s="31"/>
      <c r="I58" s="92">
        <f t="shared" si="6"/>
        <v>0</v>
      </c>
      <c r="J58" s="82"/>
      <c r="K58" s="82"/>
      <c r="L58" s="82"/>
      <c r="M58" s="31"/>
      <c r="N58" s="92">
        <f t="shared" si="7"/>
        <v>0</v>
      </c>
      <c r="O58" s="71">
        <f t="shared" si="0"/>
        <v>0</v>
      </c>
      <c r="P58" s="11"/>
    </row>
    <row r="59" spans="1:16" ht="15.5" customHeight="1" x14ac:dyDescent="0.3">
      <c r="A59" s="40"/>
      <c r="B59" s="41"/>
      <c r="C59" s="15" t="s">
        <v>108</v>
      </c>
      <c r="D59" s="11"/>
      <c r="E59" s="82"/>
      <c r="F59" s="82"/>
      <c r="G59" s="82"/>
      <c r="H59" s="26"/>
      <c r="I59" s="13">
        <f t="shared" si="6"/>
        <v>0</v>
      </c>
      <c r="J59" s="82"/>
      <c r="K59" s="82"/>
      <c r="L59" s="82"/>
      <c r="M59" s="26"/>
      <c r="N59" s="13">
        <f t="shared" si="7"/>
        <v>0</v>
      </c>
      <c r="O59" s="12">
        <f t="shared" si="0"/>
        <v>0</v>
      </c>
      <c r="P59" s="11"/>
    </row>
    <row r="60" spans="1:16" ht="15.5" customHeight="1" x14ac:dyDescent="0.3">
      <c r="A60" s="246" t="s">
        <v>58</v>
      </c>
      <c r="B60" s="247"/>
      <c r="C60" s="248"/>
      <c r="D60" s="11"/>
      <c r="E60" s="82"/>
      <c r="F60" s="82"/>
      <c r="G60" s="82"/>
      <c r="H60" s="31"/>
      <c r="I60" s="92">
        <f t="shared" si="6"/>
        <v>0</v>
      </c>
      <c r="J60" s="82"/>
      <c r="K60" s="82"/>
      <c r="L60" s="82"/>
      <c r="M60" s="31"/>
      <c r="N60" s="92">
        <f t="shared" si="7"/>
        <v>0</v>
      </c>
      <c r="O60" s="71">
        <f t="shared" si="0"/>
        <v>0</v>
      </c>
      <c r="P60" s="11"/>
    </row>
    <row r="61" spans="1:16" ht="15.5" customHeight="1" x14ac:dyDescent="0.3">
      <c r="A61" s="40"/>
      <c r="B61" s="41"/>
      <c r="C61" s="15" t="s">
        <v>108</v>
      </c>
      <c r="D61" s="11"/>
      <c r="E61" s="82"/>
      <c r="F61" s="82"/>
      <c r="G61" s="82"/>
      <c r="H61" s="26"/>
      <c r="I61" s="13">
        <f t="shared" si="6"/>
        <v>0</v>
      </c>
      <c r="J61" s="82"/>
      <c r="K61" s="82"/>
      <c r="L61" s="82"/>
      <c r="M61" s="26"/>
      <c r="N61" s="13">
        <f t="shared" si="7"/>
        <v>0</v>
      </c>
      <c r="O61" s="12">
        <f t="shared" si="0"/>
        <v>0</v>
      </c>
      <c r="P61" s="11"/>
    </row>
    <row r="62" spans="1:16" ht="15.5" customHeight="1" x14ac:dyDescent="0.3">
      <c r="A62" s="214"/>
      <c r="B62" s="215"/>
      <c r="C62" s="216"/>
      <c r="D62" s="11"/>
      <c r="E62" s="12"/>
      <c r="F62" s="12"/>
      <c r="G62" s="12"/>
      <c r="H62" s="26"/>
      <c r="I62" s="13"/>
      <c r="J62" s="12"/>
      <c r="K62" s="12"/>
      <c r="L62" s="12"/>
      <c r="M62" s="26"/>
      <c r="N62" s="13"/>
      <c r="O62" s="71"/>
      <c r="P62" s="11"/>
    </row>
    <row r="63" spans="1:16" x14ac:dyDescent="0.3">
      <c r="A63" s="224" t="s">
        <v>59</v>
      </c>
      <c r="B63" s="225"/>
      <c r="C63" s="226"/>
      <c r="D63" s="11"/>
      <c r="E63" s="82"/>
      <c r="F63" s="82"/>
      <c r="G63" s="82"/>
      <c r="H63" s="83"/>
      <c r="I63" s="93"/>
      <c r="J63" s="82"/>
      <c r="K63" s="82"/>
      <c r="L63" s="82"/>
      <c r="M63" s="83"/>
      <c r="N63" s="93"/>
      <c r="O63" s="103"/>
      <c r="P63" s="87"/>
    </row>
    <row r="64" spans="1:16" x14ac:dyDescent="0.3">
      <c r="A64" s="295" t="s">
        <v>67</v>
      </c>
      <c r="B64" s="296"/>
      <c r="C64" s="297"/>
      <c r="D64" s="11"/>
      <c r="E64" s="82"/>
      <c r="F64" s="82"/>
      <c r="G64" s="82"/>
      <c r="H64" s="83"/>
      <c r="I64" s="93"/>
      <c r="J64" s="82"/>
      <c r="K64" s="82"/>
      <c r="L64" s="82"/>
      <c r="M64" s="83"/>
      <c r="N64" s="93"/>
      <c r="O64" s="103"/>
      <c r="P64" s="87"/>
    </row>
    <row r="65" spans="1:16" ht="15.5" customHeight="1" x14ac:dyDescent="0.3">
      <c r="A65" s="308" t="s">
        <v>68</v>
      </c>
      <c r="B65" s="309"/>
      <c r="C65" s="310"/>
      <c r="D65" s="11"/>
      <c r="E65" s="82"/>
      <c r="F65" s="82"/>
      <c r="G65" s="12"/>
      <c r="H65" s="26"/>
      <c r="I65" s="13">
        <f>SUM(G65:H65)</f>
        <v>0</v>
      </c>
      <c r="J65" s="12">
        <v>6</v>
      </c>
      <c r="K65" s="12"/>
      <c r="L65" s="12"/>
      <c r="M65" s="26"/>
      <c r="N65" s="13">
        <f>SUM(L65:M65)</f>
        <v>0</v>
      </c>
      <c r="O65" s="12">
        <f t="shared" si="0"/>
        <v>0</v>
      </c>
      <c r="P65" s="11"/>
    </row>
    <row r="66" spans="1:16" ht="15.5" customHeight="1" x14ac:dyDescent="0.3">
      <c r="A66" s="308" t="s">
        <v>69</v>
      </c>
      <c r="B66" s="309"/>
      <c r="C66" s="310"/>
      <c r="D66" s="11"/>
      <c r="E66" s="85"/>
      <c r="F66" s="85"/>
      <c r="G66" s="56"/>
      <c r="H66" s="60"/>
      <c r="I66" s="13">
        <f>SUM(G66:H66)</f>
        <v>0</v>
      </c>
      <c r="J66" s="12">
        <v>0</v>
      </c>
      <c r="K66" s="12"/>
      <c r="L66" s="56"/>
      <c r="M66" s="60"/>
      <c r="N66" s="13">
        <f>SUM(L66:M66)</f>
        <v>0</v>
      </c>
      <c r="O66" s="12">
        <f t="shared" si="0"/>
        <v>0</v>
      </c>
      <c r="P66" s="11"/>
    </row>
    <row r="67" spans="1:16" ht="27.65" customHeight="1" x14ac:dyDescent="0.3">
      <c r="A67" s="311" t="s">
        <v>66</v>
      </c>
      <c r="B67" s="312"/>
      <c r="C67" s="313"/>
      <c r="D67" s="16"/>
      <c r="E67" s="12"/>
      <c r="F67" s="61"/>
      <c r="G67" s="61"/>
      <c r="H67" s="63"/>
      <c r="I67" s="61">
        <f>SUM(E67:H67)</f>
        <v>0</v>
      </c>
      <c r="J67" s="61">
        <v>31500</v>
      </c>
      <c r="K67" s="61"/>
      <c r="L67" s="61"/>
      <c r="M67" s="63"/>
      <c r="N67" s="61">
        <f>SUM(J67:M67)</f>
        <v>31500</v>
      </c>
      <c r="O67" s="12">
        <f t="shared" si="0"/>
        <v>31500</v>
      </c>
      <c r="P67" s="16"/>
    </row>
    <row r="68" spans="1:16" ht="15.5" customHeight="1" x14ac:dyDescent="0.3">
      <c r="A68" s="43"/>
      <c r="B68" s="44"/>
      <c r="C68" s="45"/>
      <c r="D68" s="16"/>
      <c r="E68" s="12"/>
      <c r="F68" s="12"/>
      <c r="G68" s="12"/>
      <c r="H68" s="26"/>
      <c r="I68" s="13"/>
      <c r="J68" s="12"/>
      <c r="K68" s="12"/>
      <c r="L68" s="12"/>
      <c r="M68" s="26"/>
      <c r="N68" s="13"/>
      <c r="O68" s="71"/>
      <c r="P68" s="16"/>
    </row>
    <row r="69" spans="1:16" x14ac:dyDescent="0.3">
      <c r="A69" s="295" t="s">
        <v>70</v>
      </c>
      <c r="B69" s="296"/>
      <c r="C69" s="297"/>
      <c r="D69" s="11"/>
      <c r="E69" s="82"/>
      <c r="F69" s="82"/>
      <c r="G69" s="82"/>
      <c r="H69" s="83"/>
      <c r="I69" s="93"/>
      <c r="J69" s="82"/>
      <c r="K69" s="82"/>
      <c r="L69" s="82"/>
      <c r="M69" s="83"/>
      <c r="N69" s="93"/>
      <c r="O69" s="103"/>
      <c r="P69" s="87"/>
    </row>
    <row r="70" spans="1:16" ht="15.5" customHeight="1" x14ac:dyDescent="0.3">
      <c r="A70" s="308" t="s">
        <v>74</v>
      </c>
      <c r="B70" s="309"/>
      <c r="C70" s="310"/>
      <c r="D70" s="11"/>
      <c r="E70" s="61"/>
      <c r="F70" s="61"/>
      <c r="G70" s="61"/>
      <c r="H70" s="61"/>
      <c r="I70" s="62">
        <f>SUM(E70:H70)</f>
        <v>0</v>
      </c>
      <c r="J70" s="61" t="s">
        <v>170</v>
      </c>
      <c r="K70" s="61"/>
      <c r="L70" s="61"/>
      <c r="M70" s="61"/>
      <c r="N70" s="62">
        <f>SUM(J70:M70)</f>
        <v>0</v>
      </c>
      <c r="O70" s="12">
        <f t="shared" si="0"/>
        <v>0</v>
      </c>
      <c r="P70" s="11"/>
    </row>
    <row r="71" spans="1:16" ht="15.5" customHeight="1" x14ac:dyDescent="0.3">
      <c r="A71" s="308" t="s">
        <v>71</v>
      </c>
      <c r="B71" s="309"/>
      <c r="C71" s="310"/>
      <c r="D71" s="11"/>
      <c r="E71" s="61"/>
      <c r="F71" s="61"/>
      <c r="G71" s="61"/>
      <c r="H71" s="63"/>
      <c r="I71" s="62">
        <f t="shared" ref="I71:I72" si="8">SUM(E71:H71)</f>
        <v>0</v>
      </c>
      <c r="J71" s="61" t="s">
        <v>170</v>
      </c>
      <c r="K71" s="61"/>
      <c r="L71" s="61"/>
      <c r="M71" s="63"/>
      <c r="N71" s="62">
        <f t="shared" ref="N71:N72" si="9">SUM(J71:M71)</f>
        <v>0</v>
      </c>
      <c r="O71" s="12">
        <f t="shared" si="0"/>
        <v>0</v>
      </c>
      <c r="P71" s="11"/>
    </row>
    <row r="72" spans="1:16" ht="15.5" customHeight="1" x14ac:dyDescent="0.3">
      <c r="A72" s="308" t="s">
        <v>72</v>
      </c>
      <c r="B72" s="309"/>
      <c r="C72" s="310"/>
      <c r="D72" s="11"/>
      <c r="E72" s="12"/>
      <c r="F72" s="12"/>
      <c r="G72" s="12"/>
      <c r="H72" s="26"/>
      <c r="I72" s="62">
        <f t="shared" si="8"/>
        <v>0</v>
      </c>
      <c r="J72" s="12" t="s">
        <v>170</v>
      </c>
      <c r="K72" s="12"/>
      <c r="L72" s="12"/>
      <c r="M72" s="26"/>
      <c r="N72" s="62">
        <f t="shared" si="9"/>
        <v>0</v>
      </c>
      <c r="O72" s="12">
        <f t="shared" si="0"/>
        <v>0</v>
      </c>
      <c r="P72" s="11"/>
    </row>
    <row r="73" spans="1:16" ht="15.5" customHeight="1" x14ac:dyDescent="0.3">
      <c r="A73" s="214"/>
      <c r="B73" s="215"/>
      <c r="C73" s="216"/>
      <c r="D73" s="11"/>
      <c r="E73" s="12"/>
      <c r="F73" s="12"/>
      <c r="G73" s="12"/>
      <c r="H73" s="26"/>
      <c r="I73" s="62"/>
      <c r="J73" s="12"/>
      <c r="K73" s="12"/>
      <c r="L73" s="12"/>
      <c r="M73" s="26"/>
      <c r="N73" s="62"/>
      <c r="O73" s="12"/>
      <c r="P73" s="11"/>
    </row>
    <row r="74" spans="1:16" x14ac:dyDescent="0.3">
      <c r="A74" s="295" t="s">
        <v>73</v>
      </c>
      <c r="B74" s="296"/>
      <c r="C74" s="297"/>
      <c r="D74" s="11"/>
      <c r="E74" s="12"/>
      <c r="F74" s="12"/>
      <c r="G74" s="12"/>
      <c r="H74" s="26"/>
      <c r="I74" s="62">
        <f>SUM(E74:H74)</f>
        <v>0</v>
      </c>
      <c r="J74" s="12">
        <v>0</v>
      </c>
      <c r="K74" s="12"/>
      <c r="L74" s="12"/>
      <c r="M74" s="26"/>
      <c r="N74" s="62">
        <f>SUM(J74:M74)</f>
        <v>0</v>
      </c>
      <c r="O74" s="12">
        <f t="shared" si="0"/>
        <v>0</v>
      </c>
      <c r="P74" s="11"/>
    </row>
    <row r="75" spans="1:16" ht="15.5" customHeight="1" x14ac:dyDescent="0.3">
      <c r="A75" s="214"/>
      <c r="B75" s="215"/>
      <c r="C75" s="216"/>
      <c r="D75" s="11"/>
      <c r="E75" s="12"/>
      <c r="F75" s="12"/>
      <c r="G75" s="12"/>
      <c r="H75" s="26"/>
      <c r="I75" s="13"/>
      <c r="J75" s="12"/>
      <c r="K75" s="12"/>
      <c r="L75" s="12"/>
      <c r="M75" s="26"/>
      <c r="N75" s="13"/>
      <c r="O75" s="104"/>
      <c r="P75" s="11"/>
    </row>
    <row r="76" spans="1:16" x14ac:dyDescent="0.3">
      <c r="A76" s="208" t="s">
        <v>42</v>
      </c>
      <c r="B76" s="209"/>
      <c r="C76" s="210"/>
      <c r="D76" s="19">
        <v>310300000000000</v>
      </c>
      <c r="E76" s="34"/>
      <c r="F76" s="34"/>
      <c r="G76" s="34"/>
      <c r="H76" s="29"/>
      <c r="I76" s="51"/>
      <c r="J76" s="34"/>
      <c r="K76" s="34"/>
      <c r="L76" s="34"/>
      <c r="M76" s="29"/>
      <c r="N76" s="51"/>
      <c r="O76" s="71"/>
      <c r="P76" s="9"/>
    </row>
    <row r="77" spans="1:16" x14ac:dyDescent="0.3">
      <c r="A77" s="211" t="s">
        <v>23</v>
      </c>
      <c r="B77" s="212"/>
      <c r="C77" s="213"/>
      <c r="D77" s="11"/>
      <c r="E77" s="82"/>
      <c r="F77" s="82"/>
      <c r="G77" s="82"/>
      <c r="H77" s="83"/>
      <c r="I77" s="93"/>
      <c r="J77" s="82"/>
      <c r="K77" s="82"/>
      <c r="L77" s="82"/>
      <c r="M77" s="83"/>
      <c r="N77" s="93"/>
      <c r="O77" s="103"/>
      <c r="P77" s="87"/>
    </row>
    <row r="78" spans="1:16" ht="12.65" customHeight="1" x14ac:dyDescent="0.3">
      <c r="A78" s="243" t="s">
        <v>77</v>
      </c>
      <c r="B78" s="244"/>
      <c r="C78" s="245"/>
      <c r="D78" s="16"/>
      <c r="E78" s="82"/>
      <c r="F78" s="82"/>
      <c r="G78" s="82"/>
      <c r="H78" s="83"/>
      <c r="I78" s="86"/>
      <c r="J78" s="82"/>
      <c r="K78" s="82"/>
      <c r="L78" s="82"/>
      <c r="M78" s="83"/>
      <c r="N78" s="86"/>
      <c r="O78" s="103"/>
      <c r="P78" s="86"/>
    </row>
    <row r="79" spans="1:16" ht="15" customHeight="1" x14ac:dyDescent="0.3">
      <c r="A79" s="246" t="s">
        <v>78</v>
      </c>
      <c r="B79" s="247"/>
      <c r="C79" s="248"/>
      <c r="D79" s="11"/>
      <c r="E79" s="82"/>
      <c r="F79" s="82"/>
      <c r="G79" s="82"/>
      <c r="H79" s="65"/>
      <c r="I79" s="66">
        <f>H79</f>
        <v>0</v>
      </c>
      <c r="J79" s="82"/>
      <c r="K79" s="82"/>
      <c r="L79" s="82"/>
      <c r="M79" s="65"/>
      <c r="N79" s="66">
        <f>M79</f>
        <v>0</v>
      </c>
      <c r="O79" s="71">
        <f t="shared" si="0"/>
        <v>0</v>
      </c>
      <c r="P79" s="11"/>
    </row>
    <row r="80" spans="1:16" ht="15" customHeight="1" x14ac:dyDescent="0.3">
      <c r="A80" s="40"/>
      <c r="B80" s="41"/>
      <c r="C80" s="15" t="s">
        <v>108</v>
      </c>
      <c r="D80" s="11"/>
      <c r="E80" s="82"/>
      <c r="F80" s="82"/>
      <c r="G80" s="82"/>
      <c r="H80" s="63"/>
      <c r="I80" s="99">
        <f t="shared" ref="I80:I86" si="10">H80</f>
        <v>0</v>
      </c>
      <c r="J80" s="82"/>
      <c r="K80" s="82"/>
      <c r="L80" s="82"/>
      <c r="M80" s="63"/>
      <c r="N80" s="99">
        <f t="shared" ref="N80:N86" si="11">M80</f>
        <v>0</v>
      </c>
      <c r="O80" s="12">
        <f t="shared" si="0"/>
        <v>0</v>
      </c>
      <c r="P80" s="11"/>
    </row>
    <row r="81" spans="1:16" ht="30" customHeight="1" x14ac:dyDescent="0.3">
      <c r="A81" s="258" t="s">
        <v>76</v>
      </c>
      <c r="B81" s="259"/>
      <c r="C81" s="260"/>
      <c r="D81" s="11"/>
      <c r="E81" s="82"/>
      <c r="F81" s="82"/>
      <c r="G81" s="82"/>
      <c r="H81" s="65"/>
      <c r="I81" s="66">
        <f t="shared" si="10"/>
        <v>0</v>
      </c>
      <c r="J81" s="82"/>
      <c r="K81" s="82"/>
      <c r="L81" s="82"/>
      <c r="M81" s="65"/>
      <c r="N81" s="66">
        <f t="shared" si="11"/>
        <v>0</v>
      </c>
      <c r="O81" s="71">
        <f t="shared" si="0"/>
        <v>0</v>
      </c>
      <c r="P81" s="11"/>
    </row>
    <row r="82" spans="1:16" ht="15.5" customHeight="1" x14ac:dyDescent="0.3">
      <c r="A82" s="40"/>
      <c r="B82" s="41"/>
      <c r="C82" s="15" t="s">
        <v>108</v>
      </c>
      <c r="D82" s="11"/>
      <c r="E82" s="82"/>
      <c r="F82" s="82"/>
      <c r="G82" s="82"/>
      <c r="H82" s="63"/>
      <c r="I82" s="99">
        <f t="shared" si="10"/>
        <v>0</v>
      </c>
      <c r="J82" s="82"/>
      <c r="K82" s="82"/>
      <c r="L82" s="82"/>
      <c r="M82" s="63"/>
      <c r="N82" s="99">
        <f t="shared" si="11"/>
        <v>0</v>
      </c>
      <c r="O82" s="12">
        <f t="shared" si="0"/>
        <v>0</v>
      </c>
      <c r="P82" s="11"/>
    </row>
    <row r="83" spans="1:16" ht="15.5" customHeight="1" x14ac:dyDescent="0.3">
      <c r="A83" s="246" t="s">
        <v>79</v>
      </c>
      <c r="B83" s="247"/>
      <c r="C83" s="248"/>
      <c r="D83" s="11"/>
      <c r="E83" s="82"/>
      <c r="F83" s="82"/>
      <c r="G83" s="82"/>
      <c r="H83" s="65"/>
      <c r="I83" s="66">
        <f t="shared" si="10"/>
        <v>0</v>
      </c>
      <c r="J83" s="82"/>
      <c r="K83" s="82"/>
      <c r="L83" s="82"/>
      <c r="M83" s="65"/>
      <c r="N83" s="66">
        <f t="shared" si="11"/>
        <v>0</v>
      </c>
      <c r="O83" s="71">
        <f t="shared" si="0"/>
        <v>0</v>
      </c>
      <c r="P83" s="11"/>
    </row>
    <row r="84" spans="1:16" ht="15.5" customHeight="1" x14ac:dyDescent="0.3">
      <c r="A84" s="40"/>
      <c r="B84" s="41"/>
      <c r="C84" s="15" t="s">
        <v>108</v>
      </c>
      <c r="D84" s="11"/>
      <c r="E84" s="82"/>
      <c r="F84" s="82"/>
      <c r="G84" s="82"/>
      <c r="H84" s="63"/>
      <c r="I84" s="99">
        <f t="shared" si="10"/>
        <v>0</v>
      </c>
      <c r="J84" s="82"/>
      <c r="K84" s="82"/>
      <c r="L84" s="82"/>
      <c r="M84" s="63"/>
      <c r="N84" s="99">
        <f t="shared" si="11"/>
        <v>0</v>
      </c>
      <c r="O84" s="12">
        <f t="shared" si="0"/>
        <v>0</v>
      </c>
      <c r="P84" s="11"/>
    </row>
    <row r="85" spans="1:16" ht="15.5" customHeight="1" x14ac:dyDescent="0.3">
      <c r="A85" s="246" t="s">
        <v>81</v>
      </c>
      <c r="B85" s="247"/>
      <c r="C85" s="248"/>
      <c r="D85" s="11"/>
      <c r="E85" s="82"/>
      <c r="F85" s="82"/>
      <c r="G85" s="82"/>
      <c r="H85" s="65"/>
      <c r="I85" s="66">
        <f t="shared" si="10"/>
        <v>0</v>
      </c>
      <c r="J85" s="82"/>
      <c r="K85" s="82"/>
      <c r="L85" s="82"/>
      <c r="M85" s="65"/>
      <c r="N85" s="66">
        <f t="shared" si="11"/>
        <v>0</v>
      </c>
      <c r="O85" s="71">
        <f t="shared" ref="O85:O128" si="12">N85-I85</f>
        <v>0</v>
      </c>
      <c r="P85" s="11"/>
    </row>
    <row r="86" spans="1:16" ht="15.5" customHeight="1" x14ac:dyDescent="0.3">
      <c r="A86" s="37"/>
      <c r="B86" s="38"/>
      <c r="C86" s="15" t="s">
        <v>108</v>
      </c>
      <c r="D86" s="11"/>
      <c r="E86" s="82"/>
      <c r="F86" s="82"/>
      <c r="G86" s="82"/>
      <c r="H86" s="63"/>
      <c r="I86" s="99">
        <f t="shared" si="10"/>
        <v>0</v>
      </c>
      <c r="J86" s="82"/>
      <c r="K86" s="82"/>
      <c r="L86" s="82"/>
      <c r="M86" s="63"/>
      <c r="N86" s="99">
        <f t="shared" si="11"/>
        <v>0</v>
      </c>
      <c r="O86" s="12">
        <f t="shared" si="12"/>
        <v>0</v>
      </c>
      <c r="P86" s="11"/>
    </row>
    <row r="87" spans="1:16" ht="15.5" customHeight="1" x14ac:dyDescent="0.3">
      <c r="A87" s="214"/>
      <c r="B87" s="215"/>
      <c r="C87" s="216"/>
      <c r="D87" s="11"/>
      <c r="E87" s="12"/>
      <c r="F87" s="12"/>
      <c r="G87" s="12"/>
      <c r="H87" s="63"/>
      <c r="I87" s="13"/>
      <c r="J87" s="12"/>
      <c r="K87" s="12"/>
      <c r="L87" s="12"/>
      <c r="M87" s="63"/>
      <c r="N87" s="13"/>
      <c r="O87" s="71"/>
      <c r="P87" s="11"/>
    </row>
    <row r="88" spans="1:16" ht="13" customHeight="1" x14ac:dyDescent="0.3">
      <c r="A88" s="261" t="s">
        <v>80</v>
      </c>
      <c r="B88" s="262"/>
      <c r="C88" s="263"/>
      <c r="D88" s="16"/>
      <c r="E88" s="82"/>
      <c r="F88" s="82"/>
      <c r="G88" s="82"/>
      <c r="H88" s="64"/>
      <c r="I88" s="66">
        <f>H88</f>
        <v>0</v>
      </c>
      <c r="J88" s="82"/>
      <c r="K88" s="82"/>
      <c r="L88" s="82"/>
      <c r="M88" s="64"/>
      <c r="N88" s="66">
        <f>M88</f>
        <v>0</v>
      </c>
      <c r="O88" s="71">
        <f t="shared" si="12"/>
        <v>0</v>
      </c>
      <c r="P88" s="16"/>
    </row>
    <row r="89" spans="1:16" ht="15.5" customHeight="1" x14ac:dyDescent="0.3">
      <c r="A89" s="214"/>
      <c r="B89" s="215"/>
      <c r="C89" s="216"/>
      <c r="D89" s="11"/>
      <c r="E89" s="12"/>
      <c r="F89" s="12"/>
      <c r="G89" s="12"/>
      <c r="H89" s="26"/>
      <c r="I89" s="13"/>
      <c r="J89" s="12"/>
      <c r="K89" s="12"/>
      <c r="L89" s="12"/>
      <c r="M89" s="26"/>
      <c r="N89" s="13"/>
      <c r="O89" s="71"/>
      <c r="P89" s="11"/>
    </row>
    <row r="90" spans="1:16" x14ac:dyDescent="0.3">
      <c r="A90" s="264" t="s">
        <v>59</v>
      </c>
      <c r="B90" s="265"/>
      <c r="C90" s="266"/>
      <c r="D90" s="11"/>
      <c r="E90" s="82"/>
      <c r="F90" s="82"/>
      <c r="G90" s="82"/>
      <c r="H90" s="83"/>
      <c r="I90" s="93"/>
      <c r="J90" s="82"/>
      <c r="K90" s="82"/>
      <c r="L90" s="82"/>
      <c r="M90" s="83"/>
      <c r="N90" s="93"/>
      <c r="O90" s="103"/>
      <c r="P90" s="87"/>
    </row>
    <row r="91" spans="1:16" x14ac:dyDescent="0.3">
      <c r="A91" s="264" t="s">
        <v>82</v>
      </c>
      <c r="B91" s="265"/>
      <c r="C91" s="266"/>
      <c r="D91" s="11"/>
      <c r="E91" s="82"/>
      <c r="F91" s="82"/>
      <c r="G91" s="82"/>
      <c r="H91" s="83"/>
      <c r="I91" s="93"/>
      <c r="J91" s="82"/>
      <c r="K91" s="82"/>
      <c r="L91" s="82"/>
      <c r="M91" s="83"/>
      <c r="N91" s="93"/>
      <c r="O91" s="103"/>
      <c r="P91" s="87"/>
    </row>
    <row r="92" spans="1:16" ht="15.5" customHeight="1" x14ac:dyDescent="0.3">
      <c r="A92" s="246" t="s">
        <v>83</v>
      </c>
      <c r="B92" s="247"/>
      <c r="C92" s="248"/>
      <c r="D92" s="11"/>
      <c r="E92" s="82"/>
      <c r="F92" s="82"/>
      <c r="G92" s="26"/>
      <c r="H92" s="83"/>
      <c r="I92" s="13">
        <f>G92</f>
        <v>0</v>
      </c>
      <c r="J92" s="82"/>
      <c r="K92" s="82"/>
      <c r="L92" s="26"/>
      <c r="M92" s="83"/>
      <c r="N92" s="13">
        <f>L92</f>
        <v>0</v>
      </c>
      <c r="O92" s="12">
        <f t="shared" si="12"/>
        <v>0</v>
      </c>
      <c r="P92" s="11"/>
    </row>
    <row r="93" spans="1:16" ht="15.5" customHeight="1" x14ac:dyDescent="0.3">
      <c r="A93" s="246" t="s">
        <v>84</v>
      </c>
      <c r="B93" s="247"/>
      <c r="C93" s="248"/>
      <c r="D93" s="11"/>
      <c r="E93" s="82"/>
      <c r="F93" s="82"/>
      <c r="G93" s="26"/>
      <c r="H93" s="83"/>
      <c r="I93" s="13">
        <f t="shared" ref="I93:I96" si="13">G93</f>
        <v>0</v>
      </c>
      <c r="J93" s="82"/>
      <c r="K93" s="82"/>
      <c r="L93" s="26"/>
      <c r="M93" s="83"/>
      <c r="N93" s="13">
        <f t="shared" ref="N93:N96" si="14">L93</f>
        <v>0</v>
      </c>
      <c r="O93" s="12">
        <f t="shared" si="12"/>
        <v>0</v>
      </c>
      <c r="P93" s="11"/>
    </row>
    <row r="94" spans="1:16" ht="15.5" customHeight="1" x14ac:dyDescent="0.3">
      <c r="A94" s="246" t="s">
        <v>85</v>
      </c>
      <c r="B94" s="247"/>
      <c r="C94" s="248"/>
      <c r="D94" s="11"/>
      <c r="E94" s="82"/>
      <c r="F94" s="82"/>
      <c r="G94" s="26"/>
      <c r="H94" s="83"/>
      <c r="I94" s="13">
        <f t="shared" si="13"/>
        <v>0</v>
      </c>
      <c r="J94" s="82"/>
      <c r="K94" s="82"/>
      <c r="L94" s="26"/>
      <c r="M94" s="83"/>
      <c r="N94" s="13">
        <f t="shared" si="14"/>
        <v>0</v>
      </c>
      <c r="O94" s="12">
        <f t="shared" si="12"/>
        <v>0</v>
      </c>
      <c r="P94" s="11"/>
    </row>
    <row r="95" spans="1:16" ht="34.75" customHeight="1" x14ac:dyDescent="0.3">
      <c r="A95" s="252" t="s">
        <v>112</v>
      </c>
      <c r="B95" s="253"/>
      <c r="C95" s="254"/>
      <c r="D95" s="11"/>
      <c r="E95" s="82"/>
      <c r="F95" s="82"/>
      <c r="G95" s="26"/>
      <c r="H95" s="83"/>
      <c r="I95" s="13">
        <f t="shared" si="13"/>
        <v>0</v>
      </c>
      <c r="J95" s="82"/>
      <c r="K95" s="82"/>
      <c r="L95" s="26"/>
      <c r="M95" s="83"/>
      <c r="N95" s="13">
        <f t="shared" si="14"/>
        <v>0</v>
      </c>
      <c r="O95" s="12">
        <f t="shared" si="12"/>
        <v>0</v>
      </c>
      <c r="P95" s="11"/>
    </row>
    <row r="96" spans="1:16" x14ac:dyDescent="0.3">
      <c r="A96" s="252" t="s">
        <v>65</v>
      </c>
      <c r="B96" s="253"/>
      <c r="C96" s="254"/>
      <c r="D96" s="11"/>
      <c r="E96" s="82"/>
      <c r="F96" s="82"/>
      <c r="G96" s="68"/>
      <c r="H96" s="84"/>
      <c r="I96" s="13">
        <f t="shared" si="13"/>
        <v>0</v>
      </c>
      <c r="J96" s="82"/>
      <c r="K96" s="82"/>
      <c r="L96" s="68"/>
      <c r="M96" s="84"/>
      <c r="N96" s="13">
        <f t="shared" si="14"/>
        <v>0</v>
      </c>
      <c r="O96" s="12">
        <f t="shared" si="12"/>
        <v>0</v>
      </c>
      <c r="P96" s="11"/>
    </row>
    <row r="97" spans="1:16" x14ac:dyDescent="0.3">
      <c r="A97" s="211"/>
      <c r="B97" s="212"/>
      <c r="C97" s="213"/>
      <c r="D97" s="11"/>
      <c r="E97" s="12"/>
      <c r="F97" s="12"/>
      <c r="G97" s="12"/>
      <c r="H97" s="26"/>
      <c r="I97" s="16"/>
      <c r="J97" s="12"/>
      <c r="K97" s="12"/>
      <c r="L97" s="12"/>
      <c r="M97" s="26"/>
      <c r="N97" s="16"/>
      <c r="O97" s="104"/>
      <c r="P97" s="11"/>
    </row>
    <row r="98" spans="1:16" x14ac:dyDescent="0.3">
      <c r="A98" s="208" t="s">
        <v>41</v>
      </c>
      <c r="B98" s="209"/>
      <c r="C98" s="210"/>
      <c r="D98" s="19">
        <v>310400000000000</v>
      </c>
      <c r="E98" s="34"/>
      <c r="F98" s="34"/>
      <c r="G98" s="34"/>
      <c r="H98" s="29"/>
      <c r="I98" s="51"/>
      <c r="J98" s="9"/>
      <c r="K98" s="9"/>
      <c r="L98" s="9"/>
      <c r="M98" s="9"/>
      <c r="N98" s="9"/>
      <c r="O98" s="71"/>
      <c r="P98" s="9"/>
    </row>
    <row r="99" spans="1:16" x14ac:dyDescent="0.3">
      <c r="A99" s="211" t="s">
        <v>86</v>
      </c>
      <c r="B99" s="212"/>
      <c r="C99" s="213"/>
      <c r="D99" s="11"/>
      <c r="E99" s="82"/>
      <c r="F99" s="82"/>
      <c r="G99" s="82"/>
      <c r="H99" s="83"/>
      <c r="I99" s="93"/>
      <c r="J99" s="87"/>
      <c r="K99" s="87"/>
      <c r="L99" s="87"/>
      <c r="M99" s="87"/>
      <c r="N99" s="87"/>
      <c r="O99" s="103"/>
      <c r="P99" s="87"/>
    </row>
    <row r="100" spans="1:16" ht="13" customHeight="1" x14ac:dyDescent="0.3">
      <c r="A100" s="243" t="s">
        <v>87</v>
      </c>
      <c r="B100" s="244"/>
      <c r="C100" s="245"/>
      <c r="D100" s="16"/>
      <c r="E100" s="82"/>
      <c r="F100" s="82"/>
      <c r="G100" s="82"/>
      <c r="H100" s="83"/>
      <c r="I100" s="86"/>
      <c r="J100" s="86"/>
      <c r="K100" s="86"/>
      <c r="L100" s="86"/>
      <c r="M100" s="86"/>
      <c r="N100" s="86"/>
      <c r="O100" s="103"/>
      <c r="P100" s="86"/>
    </row>
    <row r="101" spans="1:16" ht="15.5" customHeight="1" x14ac:dyDescent="0.3">
      <c r="A101" s="246" t="s">
        <v>56</v>
      </c>
      <c r="B101" s="247"/>
      <c r="C101" s="248"/>
      <c r="D101" s="11"/>
      <c r="E101" s="82"/>
      <c r="F101" s="82"/>
      <c r="G101" s="82"/>
      <c r="H101" s="68"/>
      <c r="I101" s="96">
        <f>H101</f>
        <v>0</v>
      </c>
      <c r="J101" s="82"/>
      <c r="K101" s="82"/>
      <c r="L101" s="82"/>
      <c r="M101" s="101"/>
      <c r="N101" s="102">
        <f>M101</f>
        <v>0</v>
      </c>
      <c r="O101" s="71">
        <f t="shared" si="12"/>
        <v>0</v>
      </c>
      <c r="P101" s="11"/>
    </row>
    <row r="102" spans="1:16" ht="15.5" customHeight="1" x14ac:dyDescent="0.3">
      <c r="A102" s="246" t="s">
        <v>88</v>
      </c>
      <c r="B102" s="247"/>
      <c r="C102" s="248"/>
      <c r="D102" s="11"/>
      <c r="E102" s="82"/>
      <c r="F102" s="82"/>
      <c r="G102" s="82"/>
      <c r="H102" s="31"/>
      <c r="I102" s="96">
        <f>H102</f>
        <v>0</v>
      </c>
      <c r="J102" s="82"/>
      <c r="K102" s="82"/>
      <c r="L102" s="82"/>
      <c r="M102" s="101"/>
      <c r="N102" s="102">
        <f>M102</f>
        <v>0</v>
      </c>
      <c r="O102" s="71">
        <f t="shared" si="12"/>
        <v>0</v>
      </c>
      <c r="P102" s="11"/>
    </row>
    <row r="103" spans="1:16" ht="13" customHeight="1" x14ac:dyDescent="0.3">
      <c r="A103" s="243" t="s">
        <v>89</v>
      </c>
      <c r="B103" s="244"/>
      <c r="C103" s="245"/>
      <c r="D103" s="16"/>
      <c r="E103" s="82"/>
      <c r="F103" s="82"/>
      <c r="G103" s="82"/>
      <c r="H103" s="100"/>
      <c r="I103" s="86"/>
      <c r="J103" s="82"/>
      <c r="K103" s="82"/>
      <c r="L103" s="82"/>
      <c r="M103" s="86"/>
      <c r="N103" s="86"/>
      <c r="O103" s="103"/>
      <c r="P103" s="86"/>
    </row>
    <row r="104" spans="1:16" ht="15.5" customHeight="1" x14ac:dyDescent="0.3">
      <c r="A104" s="246" t="s">
        <v>56</v>
      </c>
      <c r="B104" s="247"/>
      <c r="C104" s="248"/>
      <c r="D104" s="11"/>
      <c r="E104" s="82"/>
      <c r="F104" s="82"/>
      <c r="G104" s="82"/>
      <c r="H104" s="31"/>
      <c r="I104" s="96">
        <f>H104</f>
        <v>0</v>
      </c>
      <c r="J104" s="82"/>
      <c r="K104" s="82"/>
      <c r="L104" s="82"/>
      <c r="M104" s="101"/>
      <c r="N104" s="71">
        <f>M104</f>
        <v>0</v>
      </c>
      <c r="O104" s="71">
        <f t="shared" si="12"/>
        <v>0</v>
      </c>
      <c r="P104" s="11"/>
    </row>
    <row r="105" spans="1:16" ht="15.5" customHeight="1" x14ac:dyDescent="0.3">
      <c r="A105" s="246" t="s">
        <v>88</v>
      </c>
      <c r="B105" s="247"/>
      <c r="C105" s="248"/>
      <c r="D105" s="11"/>
      <c r="E105" s="82"/>
      <c r="F105" s="82"/>
      <c r="G105" s="82"/>
      <c r="H105" s="31"/>
      <c r="I105" s="96">
        <f>H105</f>
        <v>0</v>
      </c>
      <c r="J105" s="82"/>
      <c r="K105" s="82"/>
      <c r="L105" s="82"/>
      <c r="M105" s="101"/>
      <c r="N105" s="71">
        <f>M105</f>
        <v>0</v>
      </c>
      <c r="O105" s="71">
        <f t="shared" si="12"/>
        <v>0</v>
      </c>
      <c r="P105" s="11"/>
    </row>
    <row r="106" spans="1:16" ht="27.65" customHeight="1" x14ac:dyDescent="0.3">
      <c r="A106" s="243" t="s">
        <v>90</v>
      </c>
      <c r="B106" s="244"/>
      <c r="C106" s="245"/>
      <c r="D106" s="16"/>
      <c r="E106" s="82"/>
      <c r="F106" s="82"/>
      <c r="G106" s="82"/>
      <c r="H106" s="83"/>
      <c r="I106" s="86"/>
      <c r="J106" s="86"/>
      <c r="K106" s="86"/>
      <c r="L106" s="86"/>
      <c r="M106" s="86"/>
      <c r="N106" s="86"/>
      <c r="O106" s="103"/>
      <c r="P106" s="86"/>
    </row>
    <row r="107" spans="1:16" ht="15.5" customHeight="1" x14ac:dyDescent="0.3">
      <c r="A107" s="246" t="s">
        <v>91</v>
      </c>
      <c r="B107" s="247"/>
      <c r="C107" s="248"/>
      <c r="D107" s="11"/>
      <c r="E107" s="109">
        <v>1</v>
      </c>
      <c r="F107" s="82"/>
      <c r="G107" s="82"/>
      <c r="H107" s="83"/>
      <c r="I107" s="96">
        <f>E107</f>
        <v>1</v>
      </c>
      <c r="J107" s="156" t="s">
        <v>170</v>
      </c>
      <c r="K107" s="82"/>
      <c r="L107" s="82"/>
      <c r="M107" s="83"/>
      <c r="N107" s="71" t="str">
        <f>J107</f>
        <v>-</v>
      </c>
      <c r="O107" s="71" t="e">
        <f t="shared" si="12"/>
        <v>#VALUE!</v>
      </c>
      <c r="P107" s="11"/>
    </row>
    <row r="108" spans="1:16" ht="15.5" customHeight="1" x14ac:dyDescent="0.3">
      <c r="A108" s="246" t="s">
        <v>92</v>
      </c>
      <c r="B108" s="247"/>
      <c r="C108" s="248"/>
      <c r="D108" s="11"/>
      <c r="E108" s="109">
        <v>1</v>
      </c>
      <c r="F108" s="82"/>
      <c r="G108" s="82"/>
      <c r="H108" s="83"/>
      <c r="I108" s="96">
        <f t="shared" ref="I108:I109" si="15">E108</f>
        <v>1</v>
      </c>
      <c r="J108" s="156" t="s">
        <v>170</v>
      </c>
      <c r="K108" s="82"/>
      <c r="L108" s="82"/>
      <c r="M108" s="83"/>
      <c r="N108" s="71" t="str">
        <f t="shared" ref="N108:N109" si="16">J108</f>
        <v>-</v>
      </c>
      <c r="O108" s="71" t="e">
        <f t="shared" si="12"/>
        <v>#VALUE!</v>
      </c>
      <c r="P108" s="11"/>
    </row>
    <row r="109" spans="1:16" ht="15.5" customHeight="1" x14ac:dyDescent="0.3">
      <c r="A109" s="246" t="s">
        <v>93</v>
      </c>
      <c r="B109" s="247"/>
      <c r="C109" s="248"/>
      <c r="D109" s="11"/>
      <c r="E109" s="109">
        <v>1</v>
      </c>
      <c r="F109" s="82"/>
      <c r="G109" s="82"/>
      <c r="H109" s="83"/>
      <c r="I109" s="96">
        <f t="shared" si="15"/>
        <v>1</v>
      </c>
      <c r="J109" s="156" t="s">
        <v>170</v>
      </c>
      <c r="K109" s="82"/>
      <c r="L109" s="82"/>
      <c r="M109" s="83"/>
      <c r="N109" s="71" t="str">
        <f t="shared" si="16"/>
        <v>-</v>
      </c>
      <c r="O109" s="71" t="e">
        <f t="shared" si="12"/>
        <v>#VALUE!</v>
      </c>
      <c r="P109" s="11"/>
    </row>
    <row r="110" spans="1:16" ht="15.5" customHeight="1" x14ac:dyDescent="0.3">
      <c r="A110" s="14"/>
      <c r="B110" s="3"/>
      <c r="C110" s="15"/>
      <c r="D110" s="11"/>
      <c r="E110" s="12"/>
      <c r="F110" s="12"/>
      <c r="G110" s="12"/>
      <c r="H110" s="26"/>
      <c r="I110" s="13"/>
      <c r="J110" s="11"/>
      <c r="K110" s="11"/>
      <c r="L110" s="11"/>
      <c r="M110" s="11"/>
      <c r="N110" s="11"/>
      <c r="O110" s="71"/>
      <c r="P110" s="11"/>
    </row>
    <row r="111" spans="1:16" x14ac:dyDescent="0.3">
      <c r="A111" s="211" t="s">
        <v>24</v>
      </c>
      <c r="B111" s="212"/>
      <c r="C111" s="213"/>
      <c r="D111" s="11"/>
      <c r="E111" s="82"/>
      <c r="F111" s="82"/>
      <c r="G111" s="82"/>
      <c r="H111" s="83"/>
      <c r="I111" s="93"/>
      <c r="J111" s="87"/>
      <c r="K111" s="87"/>
      <c r="L111" s="87"/>
      <c r="M111" s="87"/>
      <c r="N111" s="87"/>
      <c r="O111" s="103"/>
      <c r="P111" s="87"/>
    </row>
    <row r="112" spans="1:16" s="22" customFormat="1" ht="22.25" customHeight="1" x14ac:dyDescent="0.3">
      <c r="A112" s="252" t="s">
        <v>94</v>
      </c>
      <c r="B112" s="253"/>
      <c r="C112" s="254"/>
      <c r="D112" s="16"/>
      <c r="E112" s="82"/>
      <c r="F112" s="82"/>
      <c r="G112" s="82"/>
      <c r="H112" s="83"/>
      <c r="I112" s="86"/>
      <c r="J112" s="86"/>
      <c r="K112" s="86"/>
      <c r="L112" s="86"/>
      <c r="M112" s="86"/>
      <c r="N112" s="86"/>
      <c r="O112" s="103"/>
      <c r="P112" s="86"/>
    </row>
    <row r="113" spans="1:16" ht="15.5" customHeight="1" x14ac:dyDescent="0.3">
      <c r="A113" s="211" t="s">
        <v>28</v>
      </c>
      <c r="B113" s="212"/>
      <c r="C113" s="213"/>
      <c r="D113" s="11"/>
      <c r="E113" s="82"/>
      <c r="F113" s="82"/>
      <c r="G113" s="82"/>
      <c r="H113" s="63"/>
      <c r="I113" s="13">
        <f>H113</f>
        <v>0</v>
      </c>
      <c r="J113" s="82"/>
      <c r="K113" s="82"/>
      <c r="L113" s="82"/>
      <c r="M113" s="11"/>
      <c r="N113" s="12">
        <f>M113</f>
        <v>0</v>
      </c>
      <c r="O113" s="12">
        <f t="shared" si="12"/>
        <v>0</v>
      </c>
      <c r="P113" s="11"/>
    </row>
    <row r="114" spans="1:16" ht="15.5" customHeight="1" x14ac:dyDescent="0.3">
      <c r="A114" s="211" t="s">
        <v>29</v>
      </c>
      <c r="B114" s="212"/>
      <c r="C114" s="213"/>
      <c r="D114" s="11"/>
      <c r="E114" s="82"/>
      <c r="F114" s="82"/>
      <c r="G114" s="82"/>
      <c r="H114" s="63"/>
      <c r="I114" s="13">
        <f>H114</f>
        <v>0</v>
      </c>
      <c r="J114" s="82"/>
      <c r="K114" s="82"/>
      <c r="L114" s="82"/>
      <c r="M114" s="11"/>
      <c r="N114" s="12">
        <f>M114</f>
        <v>0</v>
      </c>
      <c r="O114" s="12">
        <f t="shared" si="12"/>
        <v>0</v>
      </c>
      <c r="P114" s="11"/>
    </row>
    <row r="115" spans="1:16" ht="15.5" customHeight="1" x14ac:dyDescent="0.3">
      <c r="A115" s="14"/>
      <c r="B115" s="3"/>
      <c r="C115" s="15"/>
      <c r="D115" s="11"/>
      <c r="E115" s="12"/>
      <c r="F115" s="12"/>
      <c r="G115" s="12"/>
      <c r="H115" s="26"/>
      <c r="I115" s="13"/>
      <c r="J115" s="11"/>
      <c r="K115" s="11"/>
      <c r="L115" s="11"/>
      <c r="M115" s="11"/>
      <c r="N115" s="11"/>
      <c r="O115" s="71"/>
      <c r="P115" s="11"/>
    </row>
    <row r="116" spans="1:16" ht="13" customHeight="1" x14ac:dyDescent="0.3">
      <c r="A116" s="243" t="s">
        <v>95</v>
      </c>
      <c r="B116" s="244"/>
      <c r="C116" s="245"/>
      <c r="D116" s="11"/>
      <c r="E116" s="82"/>
      <c r="F116" s="82"/>
      <c r="G116" s="82"/>
      <c r="H116" s="83"/>
      <c r="I116" s="86"/>
      <c r="J116" s="87"/>
      <c r="K116" s="87"/>
      <c r="L116" s="87"/>
      <c r="M116" s="87"/>
      <c r="N116" s="87"/>
      <c r="O116" s="103"/>
      <c r="P116" s="87"/>
    </row>
    <row r="117" spans="1:16" ht="15.5" customHeight="1" x14ac:dyDescent="0.3">
      <c r="A117" s="211" t="s">
        <v>30</v>
      </c>
      <c r="B117" s="212"/>
      <c r="C117" s="213"/>
      <c r="D117" s="11"/>
      <c r="E117" s="82"/>
      <c r="F117" s="82"/>
      <c r="G117" s="82"/>
      <c r="H117" s="26"/>
      <c r="I117" s="13">
        <f>H117</f>
        <v>0</v>
      </c>
      <c r="J117" s="82"/>
      <c r="K117" s="82"/>
      <c r="L117" s="82"/>
      <c r="M117" s="11"/>
      <c r="N117" s="12">
        <f>M117</f>
        <v>0</v>
      </c>
      <c r="O117" s="12">
        <f t="shared" si="12"/>
        <v>0</v>
      </c>
      <c r="P117" s="11"/>
    </row>
    <row r="118" spans="1:16" ht="15.5" customHeight="1" x14ac:dyDescent="0.3">
      <c r="A118" s="211" t="s">
        <v>31</v>
      </c>
      <c r="B118" s="212"/>
      <c r="C118" s="213"/>
      <c r="D118" s="11"/>
      <c r="E118" s="82"/>
      <c r="F118" s="82"/>
      <c r="G118" s="82"/>
      <c r="H118" s="26"/>
      <c r="I118" s="13">
        <f t="shared" ref="I118:I119" si="17">H118</f>
        <v>0</v>
      </c>
      <c r="J118" s="82"/>
      <c r="K118" s="82"/>
      <c r="L118" s="82"/>
      <c r="M118" s="11"/>
      <c r="N118" s="12">
        <f t="shared" ref="N118:N119" si="18">M118</f>
        <v>0</v>
      </c>
      <c r="O118" s="12">
        <f t="shared" si="12"/>
        <v>0</v>
      </c>
      <c r="P118" s="11"/>
    </row>
    <row r="119" spans="1:16" ht="15.5" customHeight="1" x14ac:dyDescent="0.3">
      <c r="A119" s="211" t="s">
        <v>32</v>
      </c>
      <c r="B119" s="212"/>
      <c r="C119" s="213"/>
      <c r="D119" s="11"/>
      <c r="E119" s="82"/>
      <c r="F119" s="82"/>
      <c r="G119" s="82"/>
      <c r="H119" s="26"/>
      <c r="I119" s="13">
        <f t="shared" si="17"/>
        <v>0</v>
      </c>
      <c r="J119" s="82"/>
      <c r="K119" s="82"/>
      <c r="L119" s="82"/>
      <c r="M119" s="11"/>
      <c r="N119" s="12">
        <f t="shared" si="18"/>
        <v>0</v>
      </c>
      <c r="O119" s="12">
        <f t="shared" si="12"/>
        <v>0</v>
      </c>
      <c r="P119" s="11"/>
    </row>
    <row r="120" spans="1:16" ht="13" customHeight="1" x14ac:dyDescent="0.3">
      <c r="A120" s="261"/>
      <c r="B120" s="262"/>
      <c r="C120" s="263"/>
      <c r="D120" s="16"/>
      <c r="E120" s="12"/>
      <c r="F120" s="12"/>
      <c r="G120" s="12"/>
      <c r="H120" s="26"/>
      <c r="I120" s="16"/>
      <c r="J120" s="16"/>
      <c r="K120" s="16"/>
      <c r="L120" s="16"/>
      <c r="M120" s="16"/>
      <c r="N120" s="16"/>
      <c r="O120" s="104"/>
      <c r="P120" s="16"/>
    </row>
    <row r="121" spans="1:16" x14ac:dyDescent="0.3">
      <c r="A121" s="208" t="s">
        <v>40</v>
      </c>
      <c r="B121" s="209"/>
      <c r="C121" s="210"/>
      <c r="D121" s="19">
        <v>310500000000000</v>
      </c>
      <c r="E121" s="105"/>
      <c r="F121" s="105"/>
      <c r="G121" s="105"/>
      <c r="H121" s="106"/>
      <c r="I121" s="107"/>
      <c r="J121" s="108"/>
      <c r="K121" s="108"/>
      <c r="L121" s="108"/>
      <c r="M121" s="108"/>
      <c r="N121" s="108"/>
      <c r="O121" s="103"/>
      <c r="P121" s="108"/>
    </row>
    <row r="122" spans="1:16" x14ac:dyDescent="0.3">
      <c r="A122" s="233" t="s">
        <v>86</v>
      </c>
      <c r="B122" s="234"/>
      <c r="C122" s="235"/>
      <c r="D122" s="87"/>
      <c r="E122" s="82"/>
      <c r="F122" s="82"/>
      <c r="G122" s="82"/>
      <c r="H122" s="83"/>
      <c r="I122" s="93"/>
      <c r="J122" s="87"/>
      <c r="K122" s="87"/>
      <c r="L122" s="87"/>
      <c r="M122" s="87"/>
      <c r="N122" s="87"/>
      <c r="O122" s="103"/>
      <c r="P122" s="87"/>
    </row>
    <row r="123" spans="1:16" s="10" customFormat="1" ht="28.25" customHeight="1" x14ac:dyDescent="0.35">
      <c r="A123" s="227" t="s">
        <v>96</v>
      </c>
      <c r="B123" s="228"/>
      <c r="C123" s="229"/>
      <c r="D123" s="12"/>
      <c r="E123" s="98"/>
      <c r="F123" s="98"/>
      <c r="G123" s="98"/>
      <c r="H123" s="68"/>
      <c r="I123" s="98" t="e">
        <f>AVERAGE(E123:H123)</f>
        <v>#DIV/0!</v>
      </c>
      <c r="J123" s="12" t="s">
        <v>170</v>
      </c>
      <c r="K123" s="12"/>
      <c r="L123" s="12"/>
      <c r="M123" s="12"/>
      <c r="N123" s="12" t="e">
        <f>AVERAGE(J123:M123)</f>
        <v>#DIV/0!</v>
      </c>
      <c r="O123" s="71" t="e">
        <f t="shared" si="12"/>
        <v>#DIV/0!</v>
      </c>
      <c r="P123" s="12"/>
    </row>
    <row r="124" spans="1:16" s="10" customFormat="1" ht="15.5" customHeight="1" x14ac:dyDescent="0.35">
      <c r="A124" s="72"/>
      <c r="B124" s="73"/>
      <c r="C124" s="74" t="s">
        <v>109</v>
      </c>
      <c r="D124" s="12"/>
      <c r="E124" s="98"/>
      <c r="F124" s="98"/>
      <c r="G124" s="98"/>
      <c r="H124" s="68"/>
      <c r="I124" s="98" t="e">
        <f>AVERAGE(E124:H124)</f>
        <v>#DIV/0!</v>
      </c>
      <c r="J124" s="71">
        <v>1</v>
      </c>
      <c r="K124" s="12"/>
      <c r="L124" s="12"/>
      <c r="M124" s="12"/>
      <c r="N124" s="12">
        <f>AVERAGE(J124:M124)</f>
        <v>1</v>
      </c>
      <c r="O124" s="71" t="e">
        <f t="shared" si="12"/>
        <v>#DIV/0!</v>
      </c>
      <c r="P124" s="12"/>
    </row>
    <row r="125" spans="1:16" s="10" customFormat="1" ht="15.5" customHeight="1" x14ac:dyDescent="0.35">
      <c r="A125" s="72"/>
      <c r="B125" s="73"/>
      <c r="C125" s="75" t="s">
        <v>110</v>
      </c>
      <c r="D125" s="12"/>
      <c r="E125" s="12"/>
      <c r="F125" s="12"/>
      <c r="G125" s="12"/>
      <c r="H125" s="26"/>
      <c r="I125" s="52" t="e">
        <f>AVERAGE(E125:H125)</f>
        <v>#DIV/0!</v>
      </c>
      <c r="J125" s="12">
        <f>SUM(J126:J128)</f>
        <v>193</v>
      </c>
      <c r="K125" s="12"/>
      <c r="L125" s="12"/>
      <c r="M125" s="12"/>
      <c r="N125" s="12">
        <f t="shared" ref="N125:N128" si="19">AVERAGE(J125:M125)</f>
        <v>193</v>
      </c>
      <c r="O125" s="71" t="e">
        <f t="shared" si="12"/>
        <v>#DIV/0!</v>
      </c>
      <c r="P125" s="12"/>
    </row>
    <row r="126" spans="1:16" s="10" customFormat="1" ht="15.5" customHeight="1" x14ac:dyDescent="0.35">
      <c r="A126" s="72"/>
      <c r="B126" s="73"/>
      <c r="C126" s="75" t="s">
        <v>56</v>
      </c>
      <c r="D126" s="12"/>
      <c r="E126" s="12"/>
      <c r="F126" s="12"/>
      <c r="G126" s="12"/>
      <c r="H126" s="26"/>
      <c r="I126" s="52" t="e">
        <f t="shared" ref="I126:I128" si="20">AVERAGE(E126:H126)</f>
        <v>#DIV/0!</v>
      </c>
      <c r="J126" s="12">
        <v>106</v>
      </c>
      <c r="K126" s="12"/>
      <c r="L126" s="12"/>
      <c r="M126" s="12"/>
      <c r="N126" s="12">
        <f t="shared" si="19"/>
        <v>106</v>
      </c>
      <c r="O126" s="71" t="e">
        <f t="shared" si="12"/>
        <v>#DIV/0!</v>
      </c>
      <c r="P126" s="12"/>
    </row>
    <row r="127" spans="1:16" s="10" customFormat="1" ht="15.5" customHeight="1" x14ac:dyDescent="0.35">
      <c r="A127" s="72"/>
      <c r="B127" s="73"/>
      <c r="C127" s="75" t="s">
        <v>57</v>
      </c>
      <c r="D127" s="12"/>
      <c r="E127" s="12"/>
      <c r="F127" s="12"/>
      <c r="G127" s="12"/>
      <c r="H127" s="26"/>
      <c r="I127" s="52" t="e">
        <f t="shared" si="20"/>
        <v>#DIV/0!</v>
      </c>
      <c r="J127" s="12">
        <v>50</v>
      </c>
      <c r="K127" s="12"/>
      <c r="L127" s="12"/>
      <c r="M127" s="12"/>
      <c r="N127" s="12">
        <f t="shared" si="19"/>
        <v>50</v>
      </c>
      <c r="O127" s="71" t="e">
        <f t="shared" si="12"/>
        <v>#DIV/0!</v>
      </c>
      <c r="P127" s="12"/>
    </row>
    <row r="128" spans="1:16" s="10" customFormat="1" ht="15.5" customHeight="1" x14ac:dyDescent="0.35">
      <c r="A128" s="72"/>
      <c r="B128" s="73"/>
      <c r="C128" s="75" t="s">
        <v>58</v>
      </c>
      <c r="D128" s="12"/>
      <c r="E128" s="12"/>
      <c r="F128" s="12"/>
      <c r="G128" s="12"/>
      <c r="H128" s="26"/>
      <c r="I128" s="52" t="e">
        <f t="shared" si="20"/>
        <v>#DIV/0!</v>
      </c>
      <c r="J128" s="12">
        <v>37</v>
      </c>
      <c r="K128" s="12"/>
      <c r="L128" s="12"/>
      <c r="M128" s="12"/>
      <c r="N128" s="12">
        <f t="shared" si="19"/>
        <v>37</v>
      </c>
      <c r="O128" s="71" t="e">
        <f t="shared" si="12"/>
        <v>#DIV/0!</v>
      </c>
      <c r="P128" s="12"/>
    </row>
    <row r="129" spans="1:16" s="10" customFormat="1" ht="15.5" customHeight="1" x14ac:dyDescent="0.35">
      <c r="A129" s="72"/>
      <c r="B129" s="73"/>
      <c r="C129" s="74"/>
      <c r="D129" s="12"/>
      <c r="E129" s="12"/>
      <c r="F129" s="12"/>
      <c r="G129" s="12"/>
      <c r="H129" s="26"/>
      <c r="I129" s="52"/>
      <c r="J129" s="12"/>
      <c r="K129" s="12"/>
      <c r="L129" s="12"/>
      <c r="M129" s="12"/>
      <c r="N129" s="12"/>
      <c r="O129" s="71"/>
      <c r="P129" s="12"/>
    </row>
    <row r="130" spans="1:16" x14ac:dyDescent="0.3">
      <c r="A130" s="224" t="s">
        <v>59</v>
      </c>
      <c r="B130" s="225"/>
      <c r="C130" s="226"/>
      <c r="D130" s="87"/>
      <c r="E130" s="82"/>
      <c r="F130" s="82"/>
      <c r="G130" s="82"/>
      <c r="H130" s="83"/>
      <c r="I130" s="93"/>
      <c r="J130" s="87"/>
      <c r="K130" s="87"/>
      <c r="L130" s="87"/>
      <c r="M130" s="87"/>
      <c r="N130" s="87"/>
      <c r="O130" s="103"/>
      <c r="P130" s="87"/>
    </row>
    <row r="131" spans="1:16" ht="31.25" customHeight="1" x14ac:dyDescent="0.3">
      <c r="A131" s="227" t="s">
        <v>97</v>
      </c>
      <c r="B131" s="228"/>
      <c r="C131" s="229"/>
      <c r="D131" s="16"/>
      <c r="E131" s="12"/>
      <c r="F131" s="12"/>
      <c r="G131" s="12"/>
      <c r="H131" s="26"/>
      <c r="I131" s="12"/>
      <c r="J131" s="16">
        <f>SUM(J132:J133)</f>
        <v>205</v>
      </c>
      <c r="K131" s="16"/>
      <c r="L131" s="16"/>
      <c r="M131" s="16"/>
      <c r="N131" s="12"/>
      <c r="O131" s="12"/>
      <c r="P131" s="16"/>
    </row>
    <row r="132" spans="1:16" ht="14.5" customHeight="1" x14ac:dyDescent="0.3">
      <c r="A132" s="227" t="s">
        <v>113</v>
      </c>
      <c r="B132" s="228"/>
      <c r="C132" s="229"/>
      <c r="D132" s="16"/>
      <c r="E132" s="12"/>
      <c r="F132" s="12"/>
      <c r="G132" s="12"/>
      <c r="H132" s="26"/>
      <c r="I132" s="12">
        <f>SUM(E132:H132)</f>
        <v>0</v>
      </c>
      <c r="J132" s="16">
        <v>205</v>
      </c>
      <c r="K132" s="16"/>
      <c r="L132" s="16"/>
      <c r="M132" s="16"/>
      <c r="N132" s="12">
        <f>SUM(J132:M132)</f>
        <v>205</v>
      </c>
      <c r="O132" s="12">
        <f t="shared" ref="O132:O134" si="21">N132-I132</f>
        <v>205</v>
      </c>
      <c r="P132" s="16"/>
    </row>
    <row r="133" spans="1:16" ht="14.5" customHeight="1" x14ac:dyDescent="0.3">
      <c r="A133" s="227" t="s">
        <v>114</v>
      </c>
      <c r="B133" s="228"/>
      <c r="C133" s="229"/>
      <c r="D133" s="16"/>
      <c r="E133" s="12"/>
      <c r="F133" s="12"/>
      <c r="G133" s="12"/>
      <c r="H133" s="26"/>
      <c r="I133" s="12">
        <f>SUM(E133:H133)</f>
        <v>0</v>
      </c>
      <c r="J133" s="16">
        <v>0</v>
      </c>
      <c r="K133" s="16"/>
      <c r="L133" s="16"/>
      <c r="M133" s="16"/>
      <c r="N133" s="12">
        <f>SUM(J133:M133)</f>
        <v>0</v>
      </c>
      <c r="O133" s="12">
        <f t="shared" si="21"/>
        <v>0</v>
      </c>
      <c r="P133" s="16"/>
    </row>
    <row r="134" spans="1:16" ht="14.5" customHeight="1" x14ac:dyDescent="0.3">
      <c r="A134" s="227" t="s">
        <v>115</v>
      </c>
      <c r="B134" s="228"/>
      <c r="C134" s="229"/>
      <c r="D134" s="16"/>
      <c r="E134" s="12"/>
      <c r="F134" s="12"/>
      <c r="G134" s="12"/>
      <c r="H134" s="26"/>
      <c r="I134" s="12">
        <f>SUM(E134:H134)</f>
        <v>0</v>
      </c>
      <c r="J134" s="16">
        <v>13</v>
      </c>
      <c r="K134" s="16"/>
      <c r="L134" s="16"/>
      <c r="M134" s="16"/>
      <c r="N134" s="12">
        <f>SUM(J134:M134)</f>
        <v>13</v>
      </c>
      <c r="O134" s="12">
        <f t="shared" si="21"/>
        <v>13</v>
      </c>
      <c r="P134" s="16"/>
    </row>
    <row r="135" spans="1:16" ht="14.5" customHeight="1" x14ac:dyDescent="0.3">
      <c r="A135" s="240"/>
      <c r="B135" s="241"/>
      <c r="C135" s="242"/>
      <c r="D135" s="110"/>
      <c r="E135" s="111"/>
      <c r="F135" s="111"/>
      <c r="G135" s="111"/>
      <c r="H135" s="112"/>
      <c r="I135" s="111"/>
      <c r="J135" s="110"/>
      <c r="K135" s="110"/>
      <c r="L135" s="110"/>
      <c r="M135" s="110"/>
      <c r="N135" s="111"/>
      <c r="O135" s="111"/>
      <c r="P135" s="110"/>
    </row>
    <row r="136" spans="1:16" x14ac:dyDescent="0.3">
      <c r="A136" s="215"/>
      <c r="B136" s="215"/>
      <c r="C136" s="215"/>
    </row>
    <row r="137" spans="1:16" x14ac:dyDescent="0.3">
      <c r="A137" s="268" t="s">
        <v>34</v>
      </c>
      <c r="B137" s="268"/>
      <c r="C137" s="268"/>
      <c r="H137" s="268" t="s">
        <v>35</v>
      </c>
      <c r="I137" s="268"/>
      <c r="J137" s="268"/>
      <c r="M137" s="268" t="s">
        <v>14</v>
      </c>
      <c r="N137" s="268"/>
      <c r="O137" s="268"/>
    </row>
    <row r="138" spans="1:16" x14ac:dyDescent="0.3">
      <c r="A138" s="215"/>
      <c r="B138" s="215"/>
      <c r="C138" s="215"/>
      <c r="H138" s="215"/>
      <c r="I138" s="215"/>
      <c r="J138" s="215"/>
      <c r="M138" s="215"/>
      <c r="N138" s="215"/>
      <c r="O138" s="215"/>
    </row>
    <row r="139" spans="1:16" x14ac:dyDescent="0.3">
      <c r="A139" s="307"/>
      <c r="B139" s="307"/>
      <c r="C139" s="307"/>
      <c r="H139" s="307"/>
      <c r="I139" s="307"/>
      <c r="J139" s="307"/>
      <c r="M139" s="307"/>
      <c r="N139" s="307"/>
      <c r="O139" s="307"/>
    </row>
    <row r="140" spans="1:16" x14ac:dyDescent="0.3">
      <c r="A140" s="209"/>
      <c r="B140" s="209"/>
      <c r="C140" s="209"/>
      <c r="H140" s="209"/>
      <c r="I140" s="209"/>
      <c r="J140" s="209"/>
      <c r="M140" s="1" t="s">
        <v>33</v>
      </c>
      <c r="N140" s="1"/>
      <c r="O140" s="1"/>
      <c r="P140" s="3"/>
    </row>
    <row r="141" spans="1:16" x14ac:dyDescent="0.3">
      <c r="A141" s="267" t="s">
        <v>13</v>
      </c>
      <c r="B141" s="267"/>
      <c r="C141" s="267"/>
      <c r="H141" s="30" t="s">
        <v>13</v>
      </c>
      <c r="M141" s="267" t="s">
        <v>13</v>
      </c>
      <c r="N141" s="267"/>
      <c r="O141" s="267"/>
      <c r="P141" s="267"/>
    </row>
  </sheetData>
  <mergeCells count="117">
    <mergeCell ref="O1:P1"/>
    <mergeCell ref="O2:P2"/>
    <mergeCell ref="E4:J4"/>
    <mergeCell ref="E5:J5"/>
    <mergeCell ref="C8:D8"/>
    <mergeCell ref="C9:D9"/>
    <mergeCell ref="O13:O14"/>
    <mergeCell ref="P13:P14"/>
    <mergeCell ref="A15:C15"/>
    <mergeCell ref="A16:C16"/>
    <mergeCell ref="A17:C17"/>
    <mergeCell ref="A18:C18"/>
    <mergeCell ref="C10:D10"/>
    <mergeCell ref="C11:D11"/>
    <mergeCell ref="A13:C14"/>
    <mergeCell ref="D13:D14"/>
    <mergeCell ref="E13:I13"/>
    <mergeCell ref="J13:N13"/>
    <mergeCell ref="A28:C28"/>
    <mergeCell ref="A29:C29"/>
    <mergeCell ref="A30:C30"/>
    <mergeCell ref="A31:C31"/>
    <mergeCell ref="A32:C32"/>
    <mergeCell ref="A36:C36"/>
    <mergeCell ref="A19:C19"/>
    <mergeCell ref="A21:C21"/>
    <mergeCell ref="A23:C23"/>
    <mergeCell ref="A24:C24"/>
    <mergeCell ref="A25:C25"/>
    <mergeCell ref="A27:C27"/>
    <mergeCell ref="A50:C50"/>
    <mergeCell ref="A52:C52"/>
    <mergeCell ref="A55:C55"/>
    <mergeCell ref="A56:C56"/>
    <mergeCell ref="A58:C58"/>
    <mergeCell ref="A60:C60"/>
    <mergeCell ref="A38:C38"/>
    <mergeCell ref="A41:C41"/>
    <mergeCell ref="A42:C42"/>
    <mergeCell ref="A44:C44"/>
    <mergeCell ref="A46:C46"/>
    <mergeCell ref="A48:C48"/>
    <mergeCell ref="A69:C69"/>
    <mergeCell ref="A70:C70"/>
    <mergeCell ref="A71:C71"/>
    <mergeCell ref="A72:C72"/>
    <mergeCell ref="A73:C73"/>
    <mergeCell ref="A74:C74"/>
    <mergeCell ref="A62:C62"/>
    <mergeCell ref="A63:C63"/>
    <mergeCell ref="A64:C64"/>
    <mergeCell ref="A65:C65"/>
    <mergeCell ref="A66:C66"/>
    <mergeCell ref="A67:C67"/>
    <mergeCell ref="A83:C83"/>
    <mergeCell ref="A85:C85"/>
    <mergeCell ref="A87:C87"/>
    <mergeCell ref="A88:C88"/>
    <mergeCell ref="A89:C89"/>
    <mergeCell ref="A90:C90"/>
    <mergeCell ref="A75:C75"/>
    <mergeCell ref="A76:C76"/>
    <mergeCell ref="A77:C77"/>
    <mergeCell ref="A78:C78"/>
    <mergeCell ref="A79:C79"/>
    <mergeCell ref="A81:C81"/>
    <mergeCell ref="A97:C97"/>
    <mergeCell ref="A98:C98"/>
    <mergeCell ref="A99:C99"/>
    <mergeCell ref="A100:C100"/>
    <mergeCell ref="A101:C101"/>
    <mergeCell ref="A102:C102"/>
    <mergeCell ref="A91:C91"/>
    <mergeCell ref="A92:C92"/>
    <mergeCell ref="A93:C93"/>
    <mergeCell ref="A94:C94"/>
    <mergeCell ref="A95:C95"/>
    <mergeCell ref="A96:C96"/>
    <mergeCell ref="A109:C109"/>
    <mergeCell ref="A111:C111"/>
    <mergeCell ref="A112:C112"/>
    <mergeCell ref="A113:C113"/>
    <mergeCell ref="A114:C114"/>
    <mergeCell ref="A116:C116"/>
    <mergeCell ref="A103:C103"/>
    <mergeCell ref="A104:C104"/>
    <mergeCell ref="A105:C105"/>
    <mergeCell ref="A106:C106"/>
    <mergeCell ref="A107:C107"/>
    <mergeCell ref="A108:C108"/>
    <mergeCell ref="A123:C123"/>
    <mergeCell ref="A130:C130"/>
    <mergeCell ref="A131:C131"/>
    <mergeCell ref="A132:C132"/>
    <mergeCell ref="A133:C133"/>
    <mergeCell ref="A134:C134"/>
    <mergeCell ref="A117:C117"/>
    <mergeCell ref="A118:C118"/>
    <mergeCell ref="A119:C119"/>
    <mergeCell ref="A120:C120"/>
    <mergeCell ref="A121:C121"/>
    <mergeCell ref="A122:C122"/>
    <mergeCell ref="A139:C139"/>
    <mergeCell ref="H139:J139"/>
    <mergeCell ref="M139:O139"/>
    <mergeCell ref="A140:C140"/>
    <mergeCell ref="H140:J140"/>
    <mergeCell ref="A141:C141"/>
    <mergeCell ref="M141:P141"/>
    <mergeCell ref="A135:C135"/>
    <mergeCell ref="A136:C136"/>
    <mergeCell ref="A137:C137"/>
    <mergeCell ref="H137:J137"/>
    <mergeCell ref="M137:O137"/>
    <mergeCell ref="A138:C138"/>
    <mergeCell ref="H138:J138"/>
    <mergeCell ref="M138:O138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2E9E-1DF4-44DE-8A7C-3B2479DEB99A}">
  <dimension ref="A1:P141"/>
  <sheetViews>
    <sheetView topLeftCell="H56" zoomScale="92" zoomScaleNormal="90" workbookViewId="0">
      <selection activeCell="P67" sqref="P67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122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ht="13.5" thickBot="1" x14ac:dyDescent="0.35">
      <c r="A15" s="272">
        <v>1</v>
      </c>
      <c r="B15" s="272"/>
      <c r="C15" s="272"/>
      <c r="D15" s="6">
        <v>2</v>
      </c>
      <c r="E15" s="6">
        <v>3</v>
      </c>
      <c r="F15" s="6">
        <v>4</v>
      </c>
      <c r="G15" s="6">
        <v>5</v>
      </c>
      <c r="H15" s="7">
        <v>6</v>
      </c>
      <c r="I15" s="6" t="s">
        <v>21</v>
      </c>
      <c r="J15" s="6">
        <v>8</v>
      </c>
      <c r="K15" s="6">
        <v>9</v>
      </c>
      <c r="L15" s="6">
        <v>10</v>
      </c>
      <c r="M15" s="6">
        <v>11</v>
      </c>
      <c r="N15" s="6" t="s">
        <v>22</v>
      </c>
      <c r="O15" s="6">
        <v>13</v>
      </c>
      <c r="P15" s="6">
        <v>14</v>
      </c>
    </row>
    <row r="16" spans="1:16" ht="40.25" customHeight="1" x14ac:dyDescent="0.3">
      <c r="A16" s="285" t="s">
        <v>36</v>
      </c>
      <c r="B16" s="286"/>
      <c r="C16" s="287"/>
      <c r="D16" s="8"/>
      <c r="E16" s="33"/>
      <c r="F16" s="33"/>
      <c r="G16" s="33"/>
      <c r="H16" s="28"/>
      <c r="I16" s="50"/>
      <c r="J16" s="8"/>
      <c r="K16" s="8"/>
      <c r="L16" s="8"/>
      <c r="M16" s="8"/>
      <c r="N16" s="8"/>
      <c r="O16" s="8"/>
      <c r="P16" s="8"/>
    </row>
    <row r="17" spans="1:16" ht="13.25" customHeight="1" x14ac:dyDescent="0.3">
      <c r="A17" s="275" t="s">
        <v>37</v>
      </c>
      <c r="B17" s="276"/>
      <c r="C17" s="277"/>
      <c r="D17" s="20">
        <v>310100000000000</v>
      </c>
      <c r="E17" s="34"/>
      <c r="F17" s="34"/>
      <c r="G17" s="34"/>
      <c r="H17" s="29"/>
      <c r="I17" s="51"/>
      <c r="J17" s="9"/>
      <c r="K17" s="9"/>
      <c r="L17" s="9"/>
      <c r="M17" s="9"/>
      <c r="N17" s="9"/>
      <c r="O17" s="9"/>
      <c r="P17" s="9"/>
    </row>
    <row r="18" spans="1:16" x14ac:dyDescent="0.3">
      <c r="A18" s="314" t="s">
        <v>38</v>
      </c>
      <c r="B18" s="315"/>
      <c r="C18" s="316"/>
      <c r="D18" s="11"/>
      <c r="E18" s="82"/>
      <c r="F18" s="82"/>
      <c r="G18" s="82"/>
      <c r="H18" s="83"/>
      <c r="I18" s="93"/>
      <c r="J18" s="87"/>
      <c r="K18" s="87"/>
      <c r="L18" s="87"/>
      <c r="M18" s="87"/>
      <c r="N18" s="87"/>
      <c r="O18" s="87"/>
      <c r="P18" s="87"/>
    </row>
    <row r="19" spans="1:16" s="25" customFormat="1" ht="30" customHeight="1" x14ac:dyDescent="0.35">
      <c r="A19" s="252" t="s">
        <v>43</v>
      </c>
      <c r="B19" s="253"/>
      <c r="C19" s="254"/>
      <c r="D19" s="24"/>
      <c r="E19" s="76"/>
      <c r="F19" s="76"/>
      <c r="G19" s="76"/>
      <c r="H19" s="77"/>
      <c r="I19" s="78" t="e">
        <f>AVERAGE(E19:H19)</f>
        <v>#DIV/0!</v>
      </c>
      <c r="J19" s="97"/>
      <c r="K19" s="97"/>
      <c r="L19" s="97"/>
      <c r="M19" s="97"/>
      <c r="N19" s="98" t="e">
        <f>AVERAGE(J19:M19)</f>
        <v>#DIV/0!</v>
      </c>
      <c r="O19" s="71" t="e">
        <f>N19-I19</f>
        <v>#DIV/0!</v>
      </c>
      <c r="P19" s="24"/>
    </row>
    <row r="20" spans="1:16" s="25" customFormat="1" ht="19.75" customHeight="1" x14ac:dyDescent="0.35">
      <c r="A20" s="21"/>
      <c r="B20" s="22"/>
      <c r="C20" s="23"/>
      <c r="D20" s="24"/>
      <c r="E20" s="12"/>
      <c r="F20" s="12"/>
      <c r="G20" s="12"/>
      <c r="H20" s="54"/>
      <c r="I20" s="53"/>
      <c r="J20" s="24"/>
      <c r="K20" s="24"/>
      <c r="L20" s="24"/>
      <c r="M20" s="24"/>
      <c r="N20" s="24"/>
      <c r="O20" s="71"/>
      <c r="P20" s="24"/>
    </row>
    <row r="21" spans="1:16" s="25" customFormat="1" ht="14" customHeight="1" x14ac:dyDescent="0.35">
      <c r="A21" s="252" t="s">
        <v>44</v>
      </c>
      <c r="B21" s="253"/>
      <c r="C21" s="254"/>
      <c r="D21" s="24"/>
      <c r="E21" s="76"/>
      <c r="F21" s="76"/>
      <c r="G21" s="76"/>
      <c r="H21" s="77"/>
      <c r="I21" s="79" t="e">
        <f>AVERAGE(E21:H21)</f>
        <v>#DIV/0!</v>
      </c>
      <c r="J21" s="24"/>
      <c r="K21" s="24"/>
      <c r="L21" s="24"/>
      <c r="M21" s="24"/>
      <c r="N21" s="12" t="e">
        <f>AVERAGE(J21:M21)</f>
        <v>#DIV/0!</v>
      </c>
      <c r="O21" s="71" t="e">
        <f t="shared" ref="O21:O84" si="0">N21-I21</f>
        <v>#DIV/0!</v>
      </c>
      <c r="P21" s="24"/>
    </row>
    <row r="22" spans="1:16" s="25" customFormat="1" ht="14" customHeight="1" x14ac:dyDescent="0.35">
      <c r="A22" s="21"/>
      <c r="B22" s="22"/>
      <c r="C22" s="23"/>
      <c r="D22" s="24"/>
      <c r="E22" s="12"/>
      <c r="F22" s="12"/>
      <c r="G22" s="12"/>
      <c r="H22" s="31"/>
      <c r="I22" s="52"/>
      <c r="J22" s="24"/>
      <c r="K22" s="24"/>
      <c r="L22" s="24"/>
      <c r="M22" s="24"/>
      <c r="N22" s="24"/>
      <c r="O22" s="71"/>
      <c r="P22" s="24"/>
    </row>
    <row r="23" spans="1:16" x14ac:dyDescent="0.3">
      <c r="A23" s="288" t="s">
        <v>39</v>
      </c>
      <c r="B23" s="289"/>
      <c r="C23" s="290"/>
      <c r="D23" s="11"/>
      <c r="E23" s="82"/>
      <c r="F23" s="82"/>
      <c r="G23" s="82"/>
      <c r="H23" s="83"/>
      <c r="I23" s="93"/>
      <c r="J23" s="87"/>
      <c r="K23" s="87"/>
      <c r="L23" s="87"/>
      <c r="M23" s="87"/>
      <c r="N23" s="87"/>
      <c r="O23" s="103"/>
      <c r="P23" s="87"/>
    </row>
    <row r="24" spans="1:16" x14ac:dyDescent="0.3">
      <c r="A24" s="291" t="s">
        <v>55</v>
      </c>
      <c r="B24" s="292"/>
      <c r="C24" s="293"/>
      <c r="D24" s="11"/>
      <c r="E24" s="76"/>
      <c r="F24" s="76"/>
      <c r="G24" s="76"/>
      <c r="H24" s="80"/>
      <c r="I24" s="81">
        <f>SUM(E24:H24)</f>
        <v>0</v>
      </c>
      <c r="J24" s="16" t="s">
        <v>170</v>
      </c>
      <c r="K24" s="11"/>
      <c r="L24" s="11"/>
      <c r="M24" s="11"/>
      <c r="N24" s="12">
        <f>SUM(J24:M24)</f>
        <v>0</v>
      </c>
      <c r="O24" s="12">
        <f t="shared" si="0"/>
        <v>0</v>
      </c>
      <c r="P24" s="11"/>
    </row>
    <row r="25" spans="1:16" x14ac:dyDescent="0.3">
      <c r="A25" s="291" t="s">
        <v>53</v>
      </c>
      <c r="B25" s="292"/>
      <c r="C25" s="293"/>
      <c r="D25" s="11"/>
      <c r="E25" s="12"/>
      <c r="F25" s="12"/>
      <c r="G25" s="12"/>
      <c r="H25" s="26"/>
      <c r="I25" s="55">
        <f>SUM(E25:H25)</f>
        <v>0</v>
      </c>
      <c r="J25" s="16" t="s">
        <v>170</v>
      </c>
      <c r="K25" s="11"/>
      <c r="L25" s="11"/>
      <c r="M25" s="11"/>
      <c r="N25" s="12">
        <f t="shared" ref="N25:N26" si="1">SUM(J25:M25)</f>
        <v>0</v>
      </c>
      <c r="O25" s="12">
        <f t="shared" si="0"/>
        <v>0</v>
      </c>
      <c r="P25" s="11"/>
    </row>
    <row r="26" spans="1:16" x14ac:dyDescent="0.3">
      <c r="A26" s="17"/>
      <c r="B26" s="18"/>
      <c r="C26" s="35" t="s">
        <v>45</v>
      </c>
      <c r="D26" s="11"/>
      <c r="E26" s="12"/>
      <c r="F26" s="12"/>
      <c r="G26" s="12"/>
      <c r="H26" s="26"/>
      <c r="I26" s="55">
        <f>SUM(E26:H26)</f>
        <v>0</v>
      </c>
      <c r="J26" s="16">
        <v>2</v>
      </c>
      <c r="K26" s="11"/>
      <c r="L26" s="11"/>
      <c r="M26" s="11"/>
      <c r="N26" s="12">
        <f t="shared" si="1"/>
        <v>2</v>
      </c>
      <c r="O26" s="12">
        <f t="shared" si="0"/>
        <v>2</v>
      </c>
      <c r="P26" s="11"/>
    </row>
    <row r="27" spans="1:16" x14ac:dyDescent="0.3">
      <c r="A27" s="291" t="s">
        <v>54</v>
      </c>
      <c r="B27" s="292"/>
      <c r="C27" s="293"/>
      <c r="D27" s="11"/>
      <c r="E27" s="76"/>
      <c r="F27" s="76"/>
      <c r="G27" s="76"/>
      <c r="H27" s="80"/>
      <c r="I27" s="81">
        <f>SUM(E27:H27)</f>
        <v>0</v>
      </c>
      <c r="J27" s="16" t="s">
        <v>170</v>
      </c>
      <c r="K27" s="11"/>
      <c r="L27" s="11"/>
      <c r="M27" s="11"/>
      <c r="N27" s="12">
        <f>SUM(J27:M27)</f>
        <v>0</v>
      </c>
      <c r="O27" s="12">
        <f t="shared" si="0"/>
        <v>0</v>
      </c>
      <c r="P27" s="11"/>
    </row>
    <row r="28" spans="1:16" x14ac:dyDescent="0.3">
      <c r="A28" s="214"/>
      <c r="B28" s="215"/>
      <c r="C28" s="216"/>
      <c r="D28" s="11"/>
      <c r="E28" s="12"/>
      <c r="F28" s="12"/>
      <c r="G28" s="12"/>
      <c r="H28" s="26"/>
      <c r="I28" s="13"/>
      <c r="J28" s="11"/>
      <c r="K28" s="11"/>
      <c r="L28" s="11"/>
      <c r="M28" s="11"/>
      <c r="N28" s="11"/>
      <c r="O28" s="104"/>
      <c r="P28" s="11"/>
    </row>
    <row r="29" spans="1:16" x14ac:dyDescent="0.3">
      <c r="A29" s="208" t="s">
        <v>47</v>
      </c>
      <c r="B29" s="209"/>
      <c r="C29" s="210"/>
      <c r="D29" s="20">
        <v>310200000000000</v>
      </c>
      <c r="E29" s="34"/>
      <c r="F29" s="34"/>
      <c r="G29" s="34"/>
      <c r="H29" s="29"/>
      <c r="I29" s="51"/>
      <c r="J29" s="9"/>
      <c r="K29" s="9"/>
      <c r="L29" s="9"/>
      <c r="M29" s="9"/>
      <c r="N29" s="9"/>
      <c r="O29" s="71"/>
      <c r="P29" s="9"/>
    </row>
    <row r="30" spans="1:16" x14ac:dyDescent="0.3">
      <c r="A30" s="224" t="s">
        <v>48</v>
      </c>
      <c r="B30" s="225"/>
      <c r="C30" s="226"/>
      <c r="D30" s="11"/>
      <c r="E30" s="82"/>
      <c r="F30" s="82"/>
      <c r="G30" s="82"/>
      <c r="H30" s="83"/>
      <c r="I30" s="93"/>
      <c r="J30" s="87"/>
      <c r="K30" s="87"/>
      <c r="L30" s="87"/>
      <c r="M30" s="87"/>
      <c r="N30" s="87"/>
      <c r="O30" s="103"/>
      <c r="P30" s="87"/>
    </row>
    <row r="31" spans="1:16" s="10" customFormat="1" ht="31.75" customHeight="1" x14ac:dyDescent="0.3">
      <c r="A31" s="252" t="s">
        <v>49</v>
      </c>
      <c r="B31" s="253"/>
      <c r="C31" s="254"/>
      <c r="D31" s="16"/>
      <c r="E31" s="82"/>
      <c r="F31" s="82"/>
      <c r="G31" s="82"/>
      <c r="H31" s="83"/>
      <c r="I31" s="86"/>
      <c r="J31" s="86"/>
      <c r="K31" s="86"/>
      <c r="L31" s="86"/>
      <c r="M31" s="86"/>
      <c r="N31" s="86"/>
      <c r="O31" s="103"/>
      <c r="P31" s="86"/>
    </row>
    <row r="32" spans="1:16" ht="15.5" customHeight="1" x14ac:dyDescent="0.3">
      <c r="A32" s="211" t="s">
        <v>25</v>
      </c>
      <c r="B32" s="212"/>
      <c r="C32" s="213"/>
      <c r="D32" s="11"/>
      <c r="E32" s="82"/>
      <c r="F32" s="36"/>
      <c r="G32" s="82"/>
      <c r="H32" s="83"/>
      <c r="I32" s="92">
        <f>F32</f>
        <v>0</v>
      </c>
      <c r="J32" s="82"/>
      <c r="K32" s="36"/>
      <c r="L32" s="82"/>
      <c r="M32" s="83"/>
      <c r="N32" s="92">
        <f>K32</f>
        <v>0</v>
      </c>
      <c r="O32" s="71">
        <f t="shared" si="0"/>
        <v>0</v>
      </c>
      <c r="P32" s="11"/>
    </row>
    <row r="33" spans="1:16" ht="15.5" customHeight="1" x14ac:dyDescent="0.3">
      <c r="A33" s="14"/>
      <c r="B33" s="3"/>
      <c r="C33" s="15" t="s">
        <v>108</v>
      </c>
      <c r="D33" s="11"/>
      <c r="E33" s="82"/>
      <c r="F33" s="12"/>
      <c r="G33" s="82"/>
      <c r="H33" s="83"/>
      <c r="I33" s="13">
        <f t="shared" ref="I33:I39" si="2">F33</f>
        <v>0</v>
      </c>
      <c r="J33" s="82"/>
      <c r="K33" s="12"/>
      <c r="L33" s="82"/>
      <c r="M33" s="83"/>
      <c r="N33" s="13">
        <f t="shared" ref="N33:N39" si="3">K33</f>
        <v>0</v>
      </c>
      <c r="O33" s="12">
        <f t="shared" si="0"/>
        <v>0</v>
      </c>
      <c r="P33" s="11"/>
    </row>
    <row r="34" spans="1:16" ht="15.5" customHeight="1" x14ac:dyDescent="0.3">
      <c r="A34" s="14"/>
      <c r="B34" s="3"/>
      <c r="C34" s="70" t="s">
        <v>107</v>
      </c>
      <c r="D34" s="11"/>
      <c r="E34" s="82"/>
      <c r="F34" s="36"/>
      <c r="G34" s="82"/>
      <c r="H34" s="83"/>
      <c r="I34" s="92">
        <f t="shared" si="2"/>
        <v>0</v>
      </c>
      <c r="J34" s="82"/>
      <c r="K34" s="36"/>
      <c r="L34" s="82"/>
      <c r="M34" s="83"/>
      <c r="N34" s="92">
        <f t="shared" si="3"/>
        <v>0</v>
      </c>
      <c r="O34" s="71">
        <f t="shared" si="0"/>
        <v>0</v>
      </c>
      <c r="P34" s="11"/>
    </row>
    <row r="35" spans="1:16" ht="15.5" customHeight="1" x14ac:dyDescent="0.3">
      <c r="A35" s="14"/>
      <c r="B35" s="3"/>
      <c r="C35" s="15" t="s">
        <v>108</v>
      </c>
      <c r="D35" s="11"/>
      <c r="E35" s="82"/>
      <c r="F35" s="12"/>
      <c r="G35" s="82"/>
      <c r="H35" s="83"/>
      <c r="I35" s="13">
        <f t="shared" si="2"/>
        <v>0</v>
      </c>
      <c r="J35" s="82"/>
      <c r="K35" s="36"/>
      <c r="L35" s="82"/>
      <c r="M35" s="83"/>
      <c r="N35" s="13">
        <f t="shared" si="3"/>
        <v>0</v>
      </c>
      <c r="O35" s="12">
        <f t="shared" si="0"/>
        <v>0</v>
      </c>
      <c r="P35" s="11"/>
    </row>
    <row r="36" spans="1:16" ht="15.5" customHeight="1" x14ac:dyDescent="0.3">
      <c r="A36" s="211" t="s">
        <v>26</v>
      </c>
      <c r="B36" s="212"/>
      <c r="C36" s="213"/>
      <c r="D36" s="11"/>
      <c r="E36" s="82"/>
      <c r="F36" s="36"/>
      <c r="G36" s="82"/>
      <c r="H36" s="83"/>
      <c r="I36" s="92">
        <f t="shared" si="2"/>
        <v>0</v>
      </c>
      <c r="J36" s="82"/>
      <c r="K36" s="36"/>
      <c r="L36" s="82"/>
      <c r="M36" s="83"/>
      <c r="N36" s="92">
        <f t="shared" si="3"/>
        <v>0</v>
      </c>
      <c r="O36" s="71">
        <f t="shared" si="0"/>
        <v>0</v>
      </c>
      <c r="P36" s="11"/>
    </row>
    <row r="37" spans="1:16" ht="15.5" customHeight="1" x14ac:dyDescent="0.3">
      <c r="A37" s="14"/>
      <c r="B37" s="3"/>
      <c r="C37" s="15" t="s">
        <v>108</v>
      </c>
      <c r="D37" s="11"/>
      <c r="E37" s="82"/>
      <c r="F37" s="12"/>
      <c r="G37" s="82"/>
      <c r="H37" s="83"/>
      <c r="I37" s="13">
        <f t="shared" si="2"/>
        <v>0</v>
      </c>
      <c r="J37" s="82"/>
      <c r="K37" s="12"/>
      <c r="L37" s="82"/>
      <c r="M37" s="83"/>
      <c r="N37" s="13">
        <f t="shared" si="3"/>
        <v>0</v>
      </c>
      <c r="O37" s="12">
        <f t="shared" si="0"/>
        <v>0</v>
      </c>
      <c r="P37" s="11"/>
    </row>
    <row r="38" spans="1:16" ht="15.5" customHeight="1" x14ac:dyDescent="0.3">
      <c r="A38" s="211" t="s">
        <v>27</v>
      </c>
      <c r="B38" s="212"/>
      <c r="C38" s="213"/>
      <c r="D38" s="11"/>
      <c r="E38" s="82"/>
      <c r="F38" s="36"/>
      <c r="G38" s="82"/>
      <c r="H38" s="83"/>
      <c r="I38" s="92">
        <f t="shared" si="2"/>
        <v>0</v>
      </c>
      <c r="J38" s="82"/>
      <c r="K38" s="36"/>
      <c r="L38" s="82"/>
      <c r="M38" s="83"/>
      <c r="N38" s="92">
        <f t="shared" si="3"/>
        <v>0</v>
      </c>
      <c r="O38" s="71">
        <f t="shared" si="0"/>
        <v>0</v>
      </c>
      <c r="P38" s="11"/>
    </row>
    <row r="39" spans="1:16" ht="15.5" customHeight="1" x14ac:dyDescent="0.3">
      <c r="A39" s="14"/>
      <c r="B39" s="3"/>
      <c r="C39" s="15" t="s">
        <v>108</v>
      </c>
      <c r="D39" s="11"/>
      <c r="E39" s="82"/>
      <c r="F39" s="12"/>
      <c r="G39" s="82"/>
      <c r="H39" s="83"/>
      <c r="I39" s="13">
        <f t="shared" si="2"/>
        <v>0</v>
      </c>
      <c r="J39" s="82"/>
      <c r="K39" s="12"/>
      <c r="L39" s="82"/>
      <c r="M39" s="83"/>
      <c r="N39" s="13">
        <f t="shared" si="3"/>
        <v>0</v>
      </c>
      <c r="O39" s="12">
        <f t="shared" si="0"/>
        <v>0</v>
      </c>
      <c r="P39" s="11"/>
    </row>
    <row r="40" spans="1:16" ht="15.5" customHeight="1" x14ac:dyDescent="0.3">
      <c r="A40" s="14"/>
      <c r="B40" s="3"/>
      <c r="C40" s="15"/>
      <c r="D40" s="11"/>
      <c r="E40" s="12"/>
      <c r="F40" s="12"/>
      <c r="G40" s="12"/>
      <c r="H40" s="26"/>
      <c r="I40" s="13"/>
      <c r="J40" s="12"/>
      <c r="K40" s="12"/>
      <c r="L40" s="12"/>
      <c r="M40" s="26"/>
      <c r="N40" s="13"/>
      <c r="O40" s="71"/>
      <c r="P40" s="11"/>
    </row>
    <row r="41" spans="1:16" ht="25.25" customHeight="1" x14ac:dyDescent="0.3">
      <c r="A41" s="243" t="s">
        <v>46</v>
      </c>
      <c r="B41" s="244"/>
      <c r="C41" s="245"/>
      <c r="D41" s="16"/>
      <c r="E41" s="82"/>
      <c r="F41" s="82"/>
      <c r="G41" s="82"/>
      <c r="H41" s="83"/>
      <c r="I41" s="86"/>
      <c r="J41" s="82"/>
      <c r="K41" s="82"/>
      <c r="L41" s="82"/>
      <c r="M41" s="83"/>
      <c r="N41" s="86"/>
      <c r="O41" s="103"/>
      <c r="P41" s="86"/>
    </row>
    <row r="42" spans="1:16" ht="15.5" customHeight="1" x14ac:dyDescent="0.3">
      <c r="A42" s="304" t="s">
        <v>102</v>
      </c>
      <c r="B42" s="305"/>
      <c r="C42" s="306"/>
      <c r="D42" s="11"/>
      <c r="E42" s="82"/>
      <c r="F42" s="36"/>
      <c r="G42" s="82"/>
      <c r="H42" s="83"/>
      <c r="I42" s="92">
        <f>F42</f>
        <v>0</v>
      </c>
      <c r="J42" s="82"/>
      <c r="K42" s="94"/>
      <c r="L42" s="82"/>
      <c r="M42" s="83"/>
      <c r="N42" s="96">
        <f>K42</f>
        <v>0</v>
      </c>
      <c r="O42" s="71">
        <f t="shared" si="0"/>
        <v>0</v>
      </c>
      <c r="P42" s="11"/>
    </row>
    <row r="43" spans="1:16" ht="15.5" customHeight="1" x14ac:dyDescent="0.3">
      <c r="A43" s="46"/>
      <c r="B43" s="47"/>
      <c r="C43" s="15" t="s">
        <v>108</v>
      </c>
      <c r="D43" s="11"/>
      <c r="E43" s="82"/>
      <c r="F43" s="12"/>
      <c r="G43" s="82"/>
      <c r="H43" s="83"/>
      <c r="I43" s="13">
        <f t="shared" ref="I43:I53" si="4">F43</f>
        <v>0</v>
      </c>
      <c r="J43" s="82"/>
      <c r="K43" s="95"/>
      <c r="L43" s="82"/>
      <c r="M43" s="83"/>
      <c r="N43" s="13">
        <f t="shared" ref="N43:N53" si="5">K43</f>
        <v>0</v>
      </c>
      <c r="O43" s="12">
        <f t="shared" si="0"/>
        <v>0</v>
      </c>
      <c r="P43" s="11"/>
    </row>
    <row r="44" spans="1:16" ht="15.5" customHeight="1" x14ac:dyDescent="0.3">
      <c r="A44" s="304" t="s">
        <v>103</v>
      </c>
      <c r="B44" s="305"/>
      <c r="C44" s="306"/>
      <c r="D44" s="11"/>
      <c r="E44" s="82"/>
      <c r="F44" s="36"/>
      <c r="G44" s="82"/>
      <c r="H44" s="83"/>
      <c r="I44" s="92">
        <f t="shared" si="4"/>
        <v>0</v>
      </c>
      <c r="J44" s="82"/>
      <c r="K44" s="94"/>
      <c r="L44" s="82"/>
      <c r="M44" s="83"/>
      <c r="N44" s="96">
        <f t="shared" si="5"/>
        <v>0</v>
      </c>
      <c r="O44" s="71">
        <f t="shared" si="0"/>
        <v>0</v>
      </c>
      <c r="P44" s="11"/>
    </row>
    <row r="45" spans="1:16" ht="15.5" customHeight="1" x14ac:dyDescent="0.3">
      <c r="A45" s="46"/>
      <c r="B45" s="47"/>
      <c r="C45" s="15" t="s">
        <v>108</v>
      </c>
      <c r="D45" s="11"/>
      <c r="E45" s="82"/>
      <c r="F45" s="12"/>
      <c r="G45" s="82"/>
      <c r="H45" s="83"/>
      <c r="I45" s="13">
        <f t="shared" si="4"/>
        <v>0</v>
      </c>
      <c r="J45" s="82"/>
      <c r="K45" s="95"/>
      <c r="L45" s="82"/>
      <c r="M45" s="83"/>
      <c r="N45" s="13">
        <f t="shared" si="5"/>
        <v>0</v>
      </c>
      <c r="O45" s="12">
        <f t="shared" si="0"/>
        <v>0</v>
      </c>
      <c r="P45" s="11"/>
    </row>
    <row r="46" spans="1:16" ht="15.5" customHeight="1" x14ac:dyDescent="0.3">
      <c r="A46" s="304" t="s">
        <v>104</v>
      </c>
      <c r="B46" s="305"/>
      <c r="C46" s="306"/>
      <c r="D46" s="11"/>
      <c r="E46" s="82"/>
      <c r="F46" s="94"/>
      <c r="G46" s="82"/>
      <c r="H46" s="83"/>
      <c r="I46" s="92">
        <f t="shared" si="4"/>
        <v>0</v>
      </c>
      <c r="J46" s="82"/>
      <c r="K46" s="94"/>
      <c r="L46" s="82"/>
      <c r="M46" s="83"/>
      <c r="N46" s="96">
        <f t="shared" si="5"/>
        <v>0</v>
      </c>
      <c r="O46" s="71">
        <f t="shared" si="0"/>
        <v>0</v>
      </c>
      <c r="P46" s="11"/>
    </row>
    <row r="47" spans="1:16" ht="15.5" customHeight="1" x14ac:dyDescent="0.3">
      <c r="A47" s="46"/>
      <c r="B47" s="47"/>
      <c r="C47" s="15" t="s">
        <v>108</v>
      </c>
      <c r="D47" s="11"/>
      <c r="E47" s="82"/>
      <c r="F47" s="12"/>
      <c r="G47" s="82"/>
      <c r="H47" s="83"/>
      <c r="I47" s="13">
        <f t="shared" si="4"/>
        <v>0</v>
      </c>
      <c r="J47" s="82"/>
      <c r="K47" s="95"/>
      <c r="L47" s="82"/>
      <c r="M47" s="83"/>
      <c r="N47" s="13">
        <f t="shared" si="5"/>
        <v>0</v>
      </c>
      <c r="O47" s="12">
        <f t="shared" si="0"/>
        <v>0</v>
      </c>
      <c r="P47" s="11"/>
    </row>
    <row r="48" spans="1:16" ht="15.5" customHeight="1" x14ac:dyDescent="0.3">
      <c r="A48" s="304" t="s">
        <v>105</v>
      </c>
      <c r="B48" s="305"/>
      <c r="C48" s="306"/>
      <c r="D48" s="11"/>
      <c r="E48" s="82"/>
      <c r="F48" s="36"/>
      <c r="G48" s="82"/>
      <c r="H48" s="83"/>
      <c r="I48" s="92">
        <f t="shared" si="4"/>
        <v>0</v>
      </c>
      <c r="J48" s="82"/>
      <c r="K48" s="94"/>
      <c r="L48" s="82"/>
      <c r="M48" s="83"/>
      <c r="N48" s="96">
        <f t="shared" si="5"/>
        <v>0</v>
      </c>
      <c r="O48" s="71">
        <f t="shared" si="0"/>
        <v>0</v>
      </c>
      <c r="P48" s="11"/>
    </row>
    <row r="49" spans="1:16" ht="15.5" customHeight="1" x14ac:dyDescent="0.3">
      <c r="A49" s="46"/>
      <c r="B49" s="47"/>
      <c r="C49" s="15" t="s">
        <v>108</v>
      </c>
      <c r="D49" s="11"/>
      <c r="E49" s="82"/>
      <c r="F49" s="12"/>
      <c r="G49" s="82"/>
      <c r="H49" s="83"/>
      <c r="I49" s="13">
        <f t="shared" si="4"/>
        <v>0</v>
      </c>
      <c r="J49" s="82"/>
      <c r="K49" s="95"/>
      <c r="L49" s="82"/>
      <c r="M49" s="83"/>
      <c r="N49" s="13">
        <f t="shared" si="5"/>
        <v>0</v>
      </c>
      <c r="O49" s="12">
        <f t="shared" si="0"/>
        <v>0</v>
      </c>
      <c r="P49" s="11"/>
    </row>
    <row r="50" spans="1:16" ht="15.5" customHeight="1" x14ac:dyDescent="0.3">
      <c r="A50" s="304" t="s">
        <v>106</v>
      </c>
      <c r="B50" s="305"/>
      <c r="C50" s="306"/>
      <c r="D50" s="11"/>
      <c r="E50" s="82"/>
      <c r="F50" s="36"/>
      <c r="G50" s="82"/>
      <c r="H50" s="83"/>
      <c r="I50" s="92">
        <f t="shared" si="4"/>
        <v>0</v>
      </c>
      <c r="J50" s="82"/>
      <c r="K50" s="94"/>
      <c r="L50" s="82"/>
      <c r="M50" s="83"/>
      <c r="N50" s="96">
        <f t="shared" si="5"/>
        <v>0</v>
      </c>
      <c r="O50" s="71">
        <f t="shared" si="0"/>
        <v>0</v>
      </c>
      <c r="P50" s="11"/>
    </row>
    <row r="51" spans="1:16" ht="15.5" customHeight="1" x14ac:dyDescent="0.3">
      <c r="A51" s="46"/>
      <c r="B51" s="47"/>
      <c r="C51" s="15" t="s">
        <v>108</v>
      </c>
      <c r="D51" s="11"/>
      <c r="E51" s="82"/>
      <c r="F51" s="12"/>
      <c r="G51" s="82"/>
      <c r="H51" s="83"/>
      <c r="I51" s="13">
        <f t="shared" si="4"/>
        <v>0</v>
      </c>
      <c r="J51" s="82"/>
      <c r="K51" s="95"/>
      <c r="L51" s="82"/>
      <c r="M51" s="83"/>
      <c r="N51" s="13">
        <f t="shared" si="5"/>
        <v>0</v>
      </c>
      <c r="O51" s="12">
        <f t="shared" si="0"/>
        <v>0</v>
      </c>
      <c r="P51" s="11"/>
    </row>
    <row r="52" spans="1:16" ht="15.5" customHeight="1" x14ac:dyDescent="0.3">
      <c r="A52" s="304" t="s">
        <v>111</v>
      </c>
      <c r="B52" s="305"/>
      <c r="C52" s="306"/>
      <c r="D52" s="11"/>
      <c r="E52" s="82"/>
      <c r="F52" s="94"/>
      <c r="G52" s="82"/>
      <c r="H52" s="83"/>
      <c r="I52" s="92">
        <f t="shared" si="4"/>
        <v>0</v>
      </c>
      <c r="J52" s="82"/>
      <c r="K52" s="94"/>
      <c r="L52" s="82"/>
      <c r="M52" s="83"/>
      <c r="N52" s="96">
        <f t="shared" si="5"/>
        <v>0</v>
      </c>
      <c r="O52" s="71">
        <f t="shared" si="0"/>
        <v>0</v>
      </c>
      <c r="P52" s="11"/>
    </row>
    <row r="53" spans="1:16" ht="15.5" customHeight="1" x14ac:dyDescent="0.3">
      <c r="A53" s="37"/>
      <c r="B53" s="38"/>
      <c r="C53" s="15" t="s">
        <v>108</v>
      </c>
      <c r="D53" s="11"/>
      <c r="E53" s="82"/>
      <c r="F53" s="12"/>
      <c r="G53" s="82"/>
      <c r="H53" s="83"/>
      <c r="I53" s="13">
        <f t="shared" si="4"/>
        <v>0</v>
      </c>
      <c r="J53" s="82"/>
      <c r="K53" s="95"/>
      <c r="L53" s="82"/>
      <c r="M53" s="83"/>
      <c r="N53" s="13">
        <f t="shared" si="5"/>
        <v>0</v>
      </c>
      <c r="O53" s="12">
        <f t="shared" si="0"/>
        <v>0</v>
      </c>
      <c r="P53" s="11"/>
    </row>
    <row r="54" spans="1:16" ht="15.5" customHeight="1" x14ac:dyDescent="0.3">
      <c r="A54" s="37"/>
      <c r="B54" s="38"/>
      <c r="C54" s="39"/>
      <c r="D54" s="11"/>
      <c r="E54" s="12"/>
      <c r="F54" s="12"/>
      <c r="G54" s="12"/>
      <c r="H54" s="26"/>
      <c r="I54" s="13"/>
      <c r="J54" s="12"/>
      <c r="K54" s="12"/>
      <c r="L54" s="12"/>
      <c r="M54" s="26"/>
      <c r="N54" s="13"/>
      <c r="O54" s="71"/>
      <c r="P54" s="11"/>
    </row>
    <row r="55" spans="1:16" ht="25.75" customHeight="1" x14ac:dyDescent="0.3">
      <c r="A55" s="243" t="s">
        <v>52</v>
      </c>
      <c r="B55" s="244"/>
      <c r="C55" s="245"/>
      <c r="D55" s="16"/>
      <c r="E55" s="82"/>
      <c r="F55" s="82"/>
      <c r="G55" s="82"/>
      <c r="H55" s="83"/>
      <c r="I55" s="86"/>
      <c r="J55" s="82"/>
      <c r="K55" s="82"/>
      <c r="L55" s="82"/>
      <c r="M55" s="83"/>
      <c r="N55" s="86"/>
      <c r="O55" s="103"/>
      <c r="P55" s="86"/>
    </row>
    <row r="56" spans="1:16" ht="15.5" customHeight="1" x14ac:dyDescent="0.3">
      <c r="A56" s="246" t="s">
        <v>56</v>
      </c>
      <c r="B56" s="247"/>
      <c r="C56" s="248"/>
      <c r="D56" s="11"/>
      <c r="E56" s="82"/>
      <c r="F56" s="82"/>
      <c r="G56" s="82"/>
      <c r="H56" s="31"/>
      <c r="I56" s="92">
        <f>H56</f>
        <v>0</v>
      </c>
      <c r="J56" s="82"/>
      <c r="K56" s="82"/>
      <c r="L56" s="82"/>
      <c r="M56" s="31"/>
      <c r="N56" s="92">
        <f>M56</f>
        <v>0</v>
      </c>
      <c r="O56" s="71">
        <f t="shared" si="0"/>
        <v>0</v>
      </c>
      <c r="P56" s="11"/>
    </row>
    <row r="57" spans="1:16" ht="15.5" customHeight="1" x14ac:dyDescent="0.3">
      <c r="A57" s="40"/>
      <c r="B57" s="41"/>
      <c r="C57" s="15" t="s">
        <v>108</v>
      </c>
      <c r="D57" s="11"/>
      <c r="E57" s="82"/>
      <c r="F57" s="82"/>
      <c r="G57" s="82"/>
      <c r="H57" s="26"/>
      <c r="I57" s="13">
        <f t="shared" ref="I57:I61" si="6">H57</f>
        <v>0</v>
      </c>
      <c r="J57" s="82"/>
      <c r="K57" s="82"/>
      <c r="L57" s="82"/>
      <c r="M57" s="26"/>
      <c r="N57" s="13">
        <f t="shared" ref="N57:N61" si="7">M57</f>
        <v>0</v>
      </c>
      <c r="O57" s="12">
        <f t="shared" si="0"/>
        <v>0</v>
      </c>
      <c r="P57" s="11"/>
    </row>
    <row r="58" spans="1:16" ht="15.5" customHeight="1" x14ac:dyDescent="0.3">
      <c r="A58" s="246" t="s">
        <v>57</v>
      </c>
      <c r="B58" s="247"/>
      <c r="C58" s="248"/>
      <c r="D58" s="11"/>
      <c r="E58" s="82"/>
      <c r="F58" s="82"/>
      <c r="G58" s="82"/>
      <c r="H58" s="31"/>
      <c r="I58" s="92">
        <f t="shared" si="6"/>
        <v>0</v>
      </c>
      <c r="J58" s="82"/>
      <c r="K58" s="82"/>
      <c r="L58" s="82"/>
      <c r="M58" s="31"/>
      <c r="N58" s="92">
        <f t="shared" si="7"/>
        <v>0</v>
      </c>
      <c r="O58" s="71">
        <f t="shared" si="0"/>
        <v>0</v>
      </c>
      <c r="P58" s="11"/>
    </row>
    <row r="59" spans="1:16" ht="15.5" customHeight="1" x14ac:dyDescent="0.3">
      <c r="A59" s="40"/>
      <c r="B59" s="41"/>
      <c r="C59" s="15" t="s">
        <v>108</v>
      </c>
      <c r="D59" s="11"/>
      <c r="E59" s="82"/>
      <c r="F59" s="82"/>
      <c r="G59" s="82"/>
      <c r="H59" s="26"/>
      <c r="I59" s="13">
        <f t="shared" si="6"/>
        <v>0</v>
      </c>
      <c r="J59" s="82"/>
      <c r="K59" s="82"/>
      <c r="L59" s="82"/>
      <c r="M59" s="26"/>
      <c r="N59" s="13">
        <f t="shared" si="7"/>
        <v>0</v>
      </c>
      <c r="O59" s="12">
        <f t="shared" si="0"/>
        <v>0</v>
      </c>
      <c r="P59" s="11"/>
    </row>
    <row r="60" spans="1:16" ht="15.5" customHeight="1" x14ac:dyDescent="0.3">
      <c r="A60" s="246" t="s">
        <v>58</v>
      </c>
      <c r="B60" s="247"/>
      <c r="C60" s="248"/>
      <c r="D60" s="11"/>
      <c r="E60" s="82"/>
      <c r="F60" s="82"/>
      <c r="G60" s="82"/>
      <c r="H60" s="31"/>
      <c r="I60" s="92">
        <f t="shared" si="6"/>
        <v>0</v>
      </c>
      <c r="J60" s="82"/>
      <c r="K60" s="82"/>
      <c r="L60" s="82"/>
      <c r="M60" s="31"/>
      <c r="N60" s="92">
        <f t="shared" si="7"/>
        <v>0</v>
      </c>
      <c r="O60" s="71">
        <f t="shared" si="0"/>
        <v>0</v>
      </c>
      <c r="P60" s="11"/>
    </row>
    <row r="61" spans="1:16" ht="15.5" customHeight="1" x14ac:dyDescent="0.3">
      <c r="A61" s="40"/>
      <c r="B61" s="41"/>
      <c r="C61" s="15" t="s">
        <v>108</v>
      </c>
      <c r="D61" s="11"/>
      <c r="E61" s="82"/>
      <c r="F61" s="82"/>
      <c r="G61" s="82"/>
      <c r="H61" s="26"/>
      <c r="I61" s="13">
        <f t="shared" si="6"/>
        <v>0</v>
      </c>
      <c r="J61" s="82"/>
      <c r="K61" s="82"/>
      <c r="L61" s="82"/>
      <c r="M61" s="26"/>
      <c r="N61" s="13">
        <f t="shared" si="7"/>
        <v>0</v>
      </c>
      <c r="O61" s="12">
        <f t="shared" si="0"/>
        <v>0</v>
      </c>
      <c r="P61" s="11"/>
    </row>
    <row r="62" spans="1:16" ht="15.5" customHeight="1" x14ac:dyDescent="0.3">
      <c r="A62" s="214"/>
      <c r="B62" s="215"/>
      <c r="C62" s="216"/>
      <c r="D62" s="11"/>
      <c r="E62" s="12"/>
      <c r="F62" s="12"/>
      <c r="G62" s="12"/>
      <c r="H62" s="26"/>
      <c r="I62" s="13"/>
      <c r="J62" s="12"/>
      <c r="K62" s="12"/>
      <c r="L62" s="12"/>
      <c r="M62" s="26"/>
      <c r="N62" s="13"/>
      <c r="O62" s="71"/>
      <c r="P62" s="11"/>
    </row>
    <row r="63" spans="1:16" x14ac:dyDescent="0.3">
      <c r="A63" s="224" t="s">
        <v>59</v>
      </c>
      <c r="B63" s="225"/>
      <c r="C63" s="226"/>
      <c r="D63" s="11"/>
      <c r="E63" s="82"/>
      <c r="F63" s="82"/>
      <c r="G63" s="82"/>
      <c r="H63" s="83"/>
      <c r="I63" s="93"/>
      <c r="J63" s="82"/>
      <c r="K63" s="82"/>
      <c r="L63" s="82"/>
      <c r="M63" s="83"/>
      <c r="N63" s="93"/>
      <c r="O63" s="103"/>
      <c r="P63" s="87"/>
    </row>
    <row r="64" spans="1:16" x14ac:dyDescent="0.3">
      <c r="A64" s="295" t="s">
        <v>67</v>
      </c>
      <c r="B64" s="296"/>
      <c r="C64" s="297"/>
      <c r="D64" s="11"/>
      <c r="E64" s="82"/>
      <c r="F64" s="82"/>
      <c r="G64" s="82"/>
      <c r="H64" s="83"/>
      <c r="I64" s="93"/>
      <c r="J64" s="82"/>
      <c r="K64" s="82"/>
      <c r="L64" s="82"/>
      <c r="M64" s="83"/>
      <c r="N64" s="93"/>
      <c r="O64" s="103"/>
      <c r="P64" s="87"/>
    </row>
    <row r="65" spans="1:16" ht="15.5" customHeight="1" x14ac:dyDescent="0.3">
      <c r="A65" s="308" t="s">
        <v>68</v>
      </c>
      <c r="B65" s="309"/>
      <c r="C65" s="310"/>
      <c r="D65" s="11"/>
      <c r="E65" s="82"/>
      <c r="F65" s="82"/>
      <c r="G65" s="12"/>
      <c r="H65" s="26"/>
      <c r="I65" s="13">
        <f>SUM(G65:H65)</f>
        <v>0</v>
      </c>
      <c r="J65" s="12">
        <v>0</v>
      </c>
      <c r="K65" s="12"/>
      <c r="L65" s="12"/>
      <c r="M65" s="26"/>
      <c r="N65" s="13">
        <f>SUM(L65:M65)</f>
        <v>0</v>
      </c>
      <c r="O65" s="12">
        <f t="shared" si="0"/>
        <v>0</v>
      </c>
      <c r="P65" s="11"/>
    </row>
    <row r="66" spans="1:16" ht="15.5" customHeight="1" x14ac:dyDescent="0.3">
      <c r="A66" s="308" t="s">
        <v>69</v>
      </c>
      <c r="B66" s="309"/>
      <c r="C66" s="310"/>
      <c r="D66" s="11"/>
      <c r="E66" s="85"/>
      <c r="F66" s="85"/>
      <c r="G66" s="56"/>
      <c r="H66" s="60"/>
      <c r="I66" s="13">
        <f>SUM(G66:H66)</f>
        <v>0</v>
      </c>
      <c r="J66" s="12">
        <v>10</v>
      </c>
      <c r="K66" s="56"/>
      <c r="L66" s="56"/>
      <c r="M66" s="60"/>
      <c r="N66" s="13">
        <f>SUM(L66:M66)</f>
        <v>0</v>
      </c>
      <c r="O66" s="12">
        <f t="shared" si="0"/>
        <v>0</v>
      </c>
      <c r="P66" s="11" t="s">
        <v>213</v>
      </c>
    </row>
    <row r="67" spans="1:16" ht="27.65" customHeight="1" x14ac:dyDescent="0.3">
      <c r="A67" s="311" t="s">
        <v>66</v>
      </c>
      <c r="B67" s="312"/>
      <c r="C67" s="313"/>
      <c r="D67" s="16"/>
      <c r="E67" s="12"/>
      <c r="F67" s="61"/>
      <c r="G67" s="61"/>
      <c r="H67" s="63"/>
      <c r="I67" s="61">
        <f>SUM(E67:H67)</f>
        <v>0</v>
      </c>
      <c r="J67" s="12">
        <v>210</v>
      </c>
      <c r="K67" s="61"/>
      <c r="L67" s="61"/>
      <c r="M67" s="63"/>
      <c r="N67" s="61">
        <f>SUM(J67:M67)</f>
        <v>210</v>
      </c>
      <c r="O67" s="12">
        <f t="shared" si="0"/>
        <v>210</v>
      </c>
      <c r="P67" s="16"/>
    </row>
    <row r="68" spans="1:16" ht="15.5" customHeight="1" x14ac:dyDescent="0.3">
      <c r="A68" s="43"/>
      <c r="B68" s="44"/>
      <c r="C68" s="45"/>
      <c r="D68" s="16"/>
      <c r="E68" s="12"/>
      <c r="F68" s="12"/>
      <c r="G68" s="12"/>
      <c r="H68" s="26"/>
      <c r="I68" s="13"/>
      <c r="J68" s="12"/>
      <c r="K68" s="12"/>
      <c r="L68" s="12"/>
      <c r="M68" s="26"/>
      <c r="N68" s="13"/>
      <c r="O68" s="71"/>
      <c r="P68" s="16"/>
    </row>
    <row r="69" spans="1:16" x14ac:dyDescent="0.3">
      <c r="A69" s="295" t="s">
        <v>70</v>
      </c>
      <c r="B69" s="296"/>
      <c r="C69" s="297"/>
      <c r="D69" s="11"/>
      <c r="E69" s="82"/>
      <c r="F69" s="82"/>
      <c r="G69" s="82"/>
      <c r="H69" s="83"/>
      <c r="I69" s="93"/>
      <c r="J69" s="82"/>
      <c r="K69" s="82"/>
      <c r="L69" s="82"/>
      <c r="M69" s="83"/>
      <c r="N69" s="93"/>
      <c r="O69" s="103"/>
      <c r="P69" s="87"/>
    </row>
    <row r="70" spans="1:16" ht="15.5" customHeight="1" x14ac:dyDescent="0.3">
      <c r="A70" s="308" t="s">
        <v>74</v>
      </c>
      <c r="B70" s="309"/>
      <c r="C70" s="310"/>
      <c r="D70" s="11"/>
      <c r="E70" s="61"/>
      <c r="F70" s="61"/>
      <c r="G70" s="61"/>
      <c r="H70" s="61"/>
      <c r="I70" s="62">
        <f>SUM(E70:H70)</f>
        <v>0</v>
      </c>
      <c r="J70" s="61">
        <v>189</v>
      </c>
      <c r="K70" s="61"/>
      <c r="L70" s="61"/>
      <c r="M70" s="61"/>
      <c r="N70" s="62">
        <f>SUM(J70:M70)</f>
        <v>189</v>
      </c>
      <c r="O70" s="12">
        <f t="shared" si="0"/>
        <v>189</v>
      </c>
      <c r="P70" s="11"/>
    </row>
    <row r="71" spans="1:16" ht="15.5" customHeight="1" x14ac:dyDescent="0.3">
      <c r="A71" s="308" t="s">
        <v>71</v>
      </c>
      <c r="B71" s="309"/>
      <c r="C71" s="310"/>
      <c r="D71" s="11"/>
      <c r="E71" s="61"/>
      <c r="F71" s="61"/>
      <c r="G71" s="61"/>
      <c r="H71" s="63"/>
      <c r="I71" s="62">
        <f t="shared" ref="I71:I72" si="8">SUM(E71:H71)</f>
        <v>0</v>
      </c>
      <c r="J71" s="61" t="s">
        <v>170</v>
      </c>
      <c r="K71" s="61"/>
      <c r="L71" s="61"/>
      <c r="M71" s="63"/>
      <c r="N71" s="62">
        <f t="shared" ref="N71:N72" si="9">SUM(J71:M71)</f>
        <v>0</v>
      </c>
      <c r="O71" s="12">
        <f t="shared" si="0"/>
        <v>0</v>
      </c>
      <c r="P71" s="11"/>
    </row>
    <row r="72" spans="1:16" ht="15.5" customHeight="1" x14ac:dyDescent="0.3">
      <c r="A72" s="308" t="s">
        <v>72</v>
      </c>
      <c r="B72" s="309"/>
      <c r="C72" s="310"/>
      <c r="D72" s="11"/>
      <c r="E72" s="12"/>
      <c r="F72" s="12"/>
      <c r="G72" s="12"/>
      <c r="H72" s="26"/>
      <c r="I72" s="62">
        <f t="shared" si="8"/>
        <v>0</v>
      </c>
      <c r="J72" s="12">
        <v>89</v>
      </c>
      <c r="K72" s="12"/>
      <c r="L72" s="12"/>
      <c r="M72" s="26"/>
      <c r="N72" s="62">
        <f t="shared" si="9"/>
        <v>89</v>
      </c>
      <c r="O72" s="12">
        <f t="shared" si="0"/>
        <v>89</v>
      </c>
      <c r="P72" s="11"/>
    </row>
    <row r="73" spans="1:16" ht="15.5" customHeight="1" x14ac:dyDescent="0.3">
      <c r="A73" s="214"/>
      <c r="B73" s="215"/>
      <c r="C73" s="216"/>
      <c r="D73" s="11"/>
      <c r="E73" s="12"/>
      <c r="F73" s="12"/>
      <c r="G73" s="12"/>
      <c r="H73" s="26"/>
      <c r="I73" s="62"/>
      <c r="J73" s="12"/>
      <c r="K73" s="12"/>
      <c r="L73" s="12"/>
      <c r="M73" s="26"/>
      <c r="N73" s="62"/>
      <c r="O73" s="12"/>
      <c r="P73" s="11"/>
    </row>
    <row r="74" spans="1:16" x14ac:dyDescent="0.3">
      <c r="A74" s="295" t="s">
        <v>73</v>
      </c>
      <c r="B74" s="296"/>
      <c r="C74" s="297"/>
      <c r="D74" s="11"/>
      <c r="E74" s="12"/>
      <c r="F74" s="12"/>
      <c r="G74" s="12"/>
      <c r="H74" s="26"/>
      <c r="I74" s="62">
        <f>SUM(E74:H74)</f>
        <v>0</v>
      </c>
      <c r="J74" s="12" t="s">
        <v>170</v>
      </c>
      <c r="K74" s="12"/>
      <c r="L74" s="12"/>
      <c r="M74" s="26"/>
      <c r="N74" s="62">
        <f>SUM(J74:M74)</f>
        <v>0</v>
      </c>
      <c r="O74" s="12">
        <f t="shared" si="0"/>
        <v>0</v>
      </c>
      <c r="P74" s="11"/>
    </row>
    <row r="75" spans="1:16" ht="15.5" customHeight="1" x14ac:dyDescent="0.3">
      <c r="A75" s="214"/>
      <c r="B75" s="215"/>
      <c r="C75" s="216"/>
      <c r="D75" s="11"/>
      <c r="E75" s="12"/>
      <c r="F75" s="12"/>
      <c r="G75" s="12"/>
      <c r="H75" s="26"/>
      <c r="I75" s="13"/>
      <c r="J75" s="12"/>
      <c r="K75" s="12"/>
      <c r="L75" s="12"/>
      <c r="M75" s="26"/>
      <c r="N75" s="13"/>
      <c r="O75" s="104"/>
      <c r="P75" s="11"/>
    </row>
    <row r="76" spans="1:16" x14ac:dyDescent="0.3">
      <c r="A76" s="208" t="s">
        <v>42</v>
      </c>
      <c r="B76" s="209"/>
      <c r="C76" s="210"/>
      <c r="D76" s="19">
        <v>310300000000000</v>
      </c>
      <c r="E76" s="34"/>
      <c r="F76" s="34"/>
      <c r="G76" s="34"/>
      <c r="H76" s="29"/>
      <c r="I76" s="51"/>
      <c r="J76" s="34"/>
      <c r="K76" s="34"/>
      <c r="L76" s="34"/>
      <c r="M76" s="29"/>
      <c r="N76" s="51"/>
      <c r="O76" s="71"/>
      <c r="P76" s="9"/>
    </row>
    <row r="77" spans="1:16" x14ac:dyDescent="0.3">
      <c r="A77" s="211" t="s">
        <v>23</v>
      </c>
      <c r="B77" s="212"/>
      <c r="C77" s="213"/>
      <c r="D77" s="11"/>
      <c r="E77" s="82"/>
      <c r="F77" s="82"/>
      <c r="G77" s="82"/>
      <c r="H77" s="83"/>
      <c r="I77" s="93"/>
      <c r="J77" s="82"/>
      <c r="K77" s="82"/>
      <c r="L77" s="82"/>
      <c r="M77" s="83"/>
      <c r="N77" s="93"/>
      <c r="O77" s="103"/>
      <c r="P77" s="87"/>
    </row>
    <row r="78" spans="1:16" ht="12.65" customHeight="1" x14ac:dyDescent="0.3">
      <c r="A78" s="243" t="s">
        <v>77</v>
      </c>
      <c r="B78" s="244"/>
      <c r="C78" s="245"/>
      <c r="D78" s="16"/>
      <c r="E78" s="82"/>
      <c r="F78" s="82"/>
      <c r="G78" s="82"/>
      <c r="H78" s="83"/>
      <c r="I78" s="86"/>
      <c r="J78" s="82"/>
      <c r="K78" s="82"/>
      <c r="L78" s="82"/>
      <c r="M78" s="83"/>
      <c r="N78" s="86"/>
      <c r="O78" s="103"/>
      <c r="P78" s="86"/>
    </row>
    <row r="79" spans="1:16" ht="15" customHeight="1" x14ac:dyDescent="0.3">
      <c r="A79" s="246" t="s">
        <v>78</v>
      </c>
      <c r="B79" s="247"/>
      <c r="C79" s="248"/>
      <c r="D79" s="11"/>
      <c r="E79" s="82"/>
      <c r="F79" s="82"/>
      <c r="G79" s="82"/>
      <c r="H79" s="65"/>
      <c r="I79" s="66">
        <f>H79</f>
        <v>0</v>
      </c>
      <c r="J79" s="82"/>
      <c r="K79" s="82"/>
      <c r="L79" s="82"/>
      <c r="M79" s="65"/>
      <c r="N79" s="66">
        <f>M79</f>
        <v>0</v>
      </c>
      <c r="O79" s="71">
        <f t="shared" si="0"/>
        <v>0</v>
      </c>
      <c r="P79" s="11"/>
    </row>
    <row r="80" spans="1:16" ht="15" customHeight="1" x14ac:dyDescent="0.3">
      <c r="A80" s="40"/>
      <c r="B80" s="41"/>
      <c r="C80" s="15" t="s">
        <v>108</v>
      </c>
      <c r="D80" s="11"/>
      <c r="E80" s="82"/>
      <c r="F80" s="82"/>
      <c r="G80" s="82"/>
      <c r="H80" s="63"/>
      <c r="I80" s="99">
        <f t="shared" ref="I80:I86" si="10">H80</f>
        <v>0</v>
      </c>
      <c r="J80" s="82"/>
      <c r="K80" s="82"/>
      <c r="L80" s="82"/>
      <c r="M80" s="63"/>
      <c r="N80" s="99">
        <f t="shared" ref="N80:N86" si="11">M80</f>
        <v>0</v>
      </c>
      <c r="O80" s="12">
        <f t="shared" si="0"/>
        <v>0</v>
      </c>
      <c r="P80" s="11"/>
    </row>
    <row r="81" spans="1:16" ht="30" customHeight="1" x14ac:dyDescent="0.3">
      <c r="A81" s="258" t="s">
        <v>76</v>
      </c>
      <c r="B81" s="259"/>
      <c r="C81" s="260"/>
      <c r="D81" s="11"/>
      <c r="E81" s="82"/>
      <c r="F81" s="82"/>
      <c r="G81" s="82"/>
      <c r="H81" s="65"/>
      <c r="I81" s="66">
        <f t="shared" si="10"/>
        <v>0</v>
      </c>
      <c r="J81" s="82"/>
      <c r="K81" s="82"/>
      <c r="L81" s="82"/>
      <c r="M81" s="65"/>
      <c r="N81" s="66">
        <f t="shared" si="11"/>
        <v>0</v>
      </c>
      <c r="O81" s="71">
        <f t="shared" si="0"/>
        <v>0</v>
      </c>
      <c r="P81" s="11"/>
    </row>
    <row r="82" spans="1:16" ht="15.5" customHeight="1" x14ac:dyDescent="0.3">
      <c r="A82" s="40"/>
      <c r="B82" s="41"/>
      <c r="C82" s="15" t="s">
        <v>108</v>
      </c>
      <c r="D82" s="11"/>
      <c r="E82" s="82"/>
      <c r="F82" s="82"/>
      <c r="G82" s="82"/>
      <c r="H82" s="63"/>
      <c r="I82" s="99">
        <f t="shared" si="10"/>
        <v>0</v>
      </c>
      <c r="J82" s="82"/>
      <c r="K82" s="82"/>
      <c r="L82" s="82"/>
      <c r="M82" s="63"/>
      <c r="N82" s="99">
        <f t="shared" si="11"/>
        <v>0</v>
      </c>
      <c r="O82" s="12">
        <f t="shared" si="0"/>
        <v>0</v>
      </c>
      <c r="P82" s="11"/>
    </row>
    <row r="83" spans="1:16" ht="15.5" customHeight="1" x14ac:dyDescent="0.3">
      <c r="A83" s="246" t="s">
        <v>79</v>
      </c>
      <c r="B83" s="247"/>
      <c r="C83" s="248"/>
      <c r="D83" s="11"/>
      <c r="E83" s="82"/>
      <c r="F83" s="82"/>
      <c r="G83" s="82"/>
      <c r="H83" s="65"/>
      <c r="I83" s="66">
        <f t="shared" si="10"/>
        <v>0</v>
      </c>
      <c r="J83" s="82"/>
      <c r="K83" s="82"/>
      <c r="L83" s="82"/>
      <c r="M83" s="65"/>
      <c r="N83" s="66">
        <f t="shared" si="11"/>
        <v>0</v>
      </c>
      <c r="O83" s="71">
        <f t="shared" si="0"/>
        <v>0</v>
      </c>
      <c r="P83" s="11"/>
    </row>
    <row r="84" spans="1:16" ht="15.5" customHeight="1" x14ac:dyDescent="0.3">
      <c r="A84" s="40"/>
      <c r="B84" s="41"/>
      <c r="C84" s="15" t="s">
        <v>108</v>
      </c>
      <c r="D84" s="11"/>
      <c r="E84" s="82"/>
      <c r="F84" s="82"/>
      <c r="G84" s="82"/>
      <c r="H84" s="63"/>
      <c r="I84" s="99">
        <f t="shared" si="10"/>
        <v>0</v>
      </c>
      <c r="J84" s="82"/>
      <c r="K84" s="82"/>
      <c r="L84" s="82"/>
      <c r="M84" s="63"/>
      <c r="N84" s="99">
        <f t="shared" si="11"/>
        <v>0</v>
      </c>
      <c r="O84" s="12">
        <f t="shared" si="0"/>
        <v>0</v>
      </c>
      <c r="P84" s="11"/>
    </row>
    <row r="85" spans="1:16" ht="15.5" customHeight="1" x14ac:dyDescent="0.3">
      <c r="A85" s="246" t="s">
        <v>81</v>
      </c>
      <c r="B85" s="247"/>
      <c r="C85" s="248"/>
      <c r="D85" s="11"/>
      <c r="E85" s="82"/>
      <c r="F85" s="82"/>
      <c r="G85" s="82"/>
      <c r="H85" s="65"/>
      <c r="I85" s="66">
        <f t="shared" si="10"/>
        <v>0</v>
      </c>
      <c r="J85" s="82"/>
      <c r="K85" s="82"/>
      <c r="L85" s="82"/>
      <c r="M85" s="65"/>
      <c r="N85" s="66">
        <f t="shared" si="11"/>
        <v>0</v>
      </c>
      <c r="O85" s="71">
        <f t="shared" ref="O85:O128" si="12">N85-I85</f>
        <v>0</v>
      </c>
      <c r="P85" s="11"/>
    </row>
    <row r="86" spans="1:16" ht="15.5" customHeight="1" x14ac:dyDescent="0.3">
      <c r="A86" s="37"/>
      <c r="B86" s="38"/>
      <c r="C86" s="15" t="s">
        <v>108</v>
      </c>
      <c r="D86" s="11"/>
      <c r="E86" s="82"/>
      <c r="F86" s="82"/>
      <c r="G86" s="82"/>
      <c r="H86" s="63"/>
      <c r="I86" s="99">
        <f t="shared" si="10"/>
        <v>0</v>
      </c>
      <c r="J86" s="82"/>
      <c r="K86" s="82"/>
      <c r="L86" s="82"/>
      <c r="M86" s="63"/>
      <c r="N86" s="99">
        <f t="shared" si="11"/>
        <v>0</v>
      </c>
      <c r="O86" s="12">
        <f t="shared" si="12"/>
        <v>0</v>
      </c>
      <c r="P86" s="11"/>
    </row>
    <row r="87" spans="1:16" ht="15.5" customHeight="1" x14ac:dyDescent="0.3">
      <c r="A87" s="214"/>
      <c r="B87" s="215"/>
      <c r="C87" s="216"/>
      <c r="D87" s="11"/>
      <c r="E87" s="12"/>
      <c r="F87" s="12"/>
      <c r="G87" s="12"/>
      <c r="H87" s="63"/>
      <c r="I87" s="13"/>
      <c r="J87" s="12"/>
      <c r="K87" s="12"/>
      <c r="L87" s="12"/>
      <c r="M87" s="63"/>
      <c r="N87" s="13"/>
      <c r="O87" s="71"/>
      <c r="P87" s="11"/>
    </row>
    <row r="88" spans="1:16" ht="13" customHeight="1" x14ac:dyDescent="0.3">
      <c r="A88" s="261" t="s">
        <v>80</v>
      </c>
      <c r="B88" s="262"/>
      <c r="C88" s="263"/>
      <c r="D88" s="16"/>
      <c r="E88" s="82"/>
      <c r="F88" s="82"/>
      <c r="G88" s="82"/>
      <c r="H88" s="64"/>
      <c r="I88" s="66">
        <f>H88</f>
        <v>0</v>
      </c>
      <c r="J88" s="82"/>
      <c r="K88" s="82"/>
      <c r="L88" s="82"/>
      <c r="M88" s="64"/>
      <c r="N88" s="66">
        <f>M88</f>
        <v>0</v>
      </c>
      <c r="O88" s="71">
        <f t="shared" si="12"/>
        <v>0</v>
      </c>
      <c r="P88" s="16"/>
    </row>
    <row r="89" spans="1:16" ht="15.5" customHeight="1" x14ac:dyDescent="0.3">
      <c r="A89" s="214"/>
      <c r="B89" s="215"/>
      <c r="C89" s="216"/>
      <c r="D89" s="11"/>
      <c r="E89" s="12"/>
      <c r="F89" s="12"/>
      <c r="G89" s="12"/>
      <c r="H89" s="26"/>
      <c r="I89" s="13"/>
      <c r="J89" s="12"/>
      <c r="K89" s="12"/>
      <c r="L89" s="12"/>
      <c r="M89" s="26"/>
      <c r="N89" s="13"/>
      <c r="O89" s="71"/>
      <c r="P89" s="11"/>
    </row>
    <row r="90" spans="1:16" x14ac:dyDescent="0.3">
      <c r="A90" s="264" t="s">
        <v>59</v>
      </c>
      <c r="B90" s="265"/>
      <c r="C90" s="266"/>
      <c r="D90" s="11"/>
      <c r="E90" s="82"/>
      <c r="F90" s="82"/>
      <c r="G90" s="82"/>
      <c r="H90" s="83"/>
      <c r="I90" s="93"/>
      <c r="J90" s="82"/>
      <c r="K90" s="82"/>
      <c r="L90" s="82"/>
      <c r="M90" s="83"/>
      <c r="N90" s="93"/>
      <c r="O90" s="103"/>
      <c r="P90" s="87"/>
    </row>
    <row r="91" spans="1:16" x14ac:dyDescent="0.3">
      <c r="A91" s="264" t="s">
        <v>82</v>
      </c>
      <c r="B91" s="265"/>
      <c r="C91" s="266"/>
      <c r="D91" s="11"/>
      <c r="E91" s="82"/>
      <c r="F91" s="82"/>
      <c r="G91" s="82"/>
      <c r="H91" s="83"/>
      <c r="I91" s="93"/>
      <c r="J91" s="82"/>
      <c r="K91" s="82"/>
      <c r="L91" s="82"/>
      <c r="M91" s="83"/>
      <c r="N91" s="93"/>
      <c r="O91" s="103"/>
      <c r="P91" s="87"/>
    </row>
    <row r="92" spans="1:16" ht="15.5" customHeight="1" x14ac:dyDescent="0.3">
      <c r="A92" s="246" t="s">
        <v>83</v>
      </c>
      <c r="B92" s="247"/>
      <c r="C92" s="248"/>
      <c r="D92" s="11"/>
      <c r="E92" s="82"/>
      <c r="F92" s="82"/>
      <c r="G92" s="26"/>
      <c r="H92" s="83"/>
      <c r="I92" s="13">
        <f>G92</f>
        <v>0</v>
      </c>
      <c r="J92" s="82"/>
      <c r="K92" s="82"/>
      <c r="L92" s="26"/>
      <c r="M92" s="83"/>
      <c r="N92" s="13">
        <f>L92</f>
        <v>0</v>
      </c>
      <c r="O92" s="12">
        <f t="shared" si="12"/>
        <v>0</v>
      </c>
      <c r="P92" s="11"/>
    </row>
    <row r="93" spans="1:16" ht="15.5" customHeight="1" x14ac:dyDescent="0.3">
      <c r="A93" s="246" t="s">
        <v>84</v>
      </c>
      <c r="B93" s="247"/>
      <c r="C93" s="248"/>
      <c r="D93" s="11"/>
      <c r="E93" s="82"/>
      <c r="F93" s="82"/>
      <c r="G93" s="26"/>
      <c r="H93" s="83"/>
      <c r="I93" s="13">
        <f t="shared" ref="I93:I96" si="13">G93</f>
        <v>0</v>
      </c>
      <c r="J93" s="82"/>
      <c r="K93" s="82"/>
      <c r="L93" s="26"/>
      <c r="M93" s="83"/>
      <c r="N93" s="13">
        <f t="shared" ref="N93:N96" si="14">L93</f>
        <v>0</v>
      </c>
      <c r="O93" s="12">
        <f t="shared" si="12"/>
        <v>0</v>
      </c>
      <c r="P93" s="11"/>
    </row>
    <row r="94" spans="1:16" ht="15.5" customHeight="1" x14ac:dyDescent="0.3">
      <c r="A94" s="246" t="s">
        <v>85</v>
      </c>
      <c r="B94" s="247"/>
      <c r="C94" s="248"/>
      <c r="D94" s="11"/>
      <c r="E94" s="82"/>
      <c r="F94" s="82"/>
      <c r="G94" s="26"/>
      <c r="H94" s="83"/>
      <c r="I94" s="13">
        <f t="shared" si="13"/>
        <v>0</v>
      </c>
      <c r="J94" s="82"/>
      <c r="K94" s="82"/>
      <c r="L94" s="26"/>
      <c r="M94" s="83"/>
      <c r="N94" s="13">
        <f t="shared" si="14"/>
        <v>0</v>
      </c>
      <c r="O94" s="12">
        <f t="shared" si="12"/>
        <v>0</v>
      </c>
      <c r="P94" s="11"/>
    </row>
    <row r="95" spans="1:16" ht="34.75" customHeight="1" x14ac:dyDescent="0.3">
      <c r="A95" s="252" t="s">
        <v>112</v>
      </c>
      <c r="B95" s="253"/>
      <c r="C95" s="254"/>
      <c r="D95" s="11"/>
      <c r="E95" s="82"/>
      <c r="F95" s="82"/>
      <c r="G95" s="26"/>
      <c r="H95" s="83"/>
      <c r="I95" s="13">
        <f t="shared" si="13"/>
        <v>0</v>
      </c>
      <c r="J95" s="82"/>
      <c r="K95" s="82"/>
      <c r="L95" s="26"/>
      <c r="M95" s="83"/>
      <c r="N95" s="13">
        <f t="shared" si="14"/>
        <v>0</v>
      </c>
      <c r="O95" s="12">
        <f t="shared" si="12"/>
        <v>0</v>
      </c>
      <c r="P95" s="11"/>
    </row>
    <row r="96" spans="1:16" x14ac:dyDescent="0.3">
      <c r="A96" s="252" t="s">
        <v>65</v>
      </c>
      <c r="B96" s="253"/>
      <c r="C96" s="254"/>
      <c r="D96" s="11"/>
      <c r="E96" s="82"/>
      <c r="F96" s="82"/>
      <c r="G96" s="68"/>
      <c r="H96" s="84"/>
      <c r="I96" s="13">
        <f t="shared" si="13"/>
        <v>0</v>
      </c>
      <c r="J96" s="82"/>
      <c r="K96" s="82"/>
      <c r="L96" s="68"/>
      <c r="M96" s="84"/>
      <c r="N96" s="13">
        <f t="shared" si="14"/>
        <v>0</v>
      </c>
      <c r="O96" s="12">
        <f t="shared" si="12"/>
        <v>0</v>
      </c>
      <c r="P96" s="11"/>
    </row>
    <row r="97" spans="1:16" x14ac:dyDescent="0.3">
      <c r="A97" s="211"/>
      <c r="B97" s="212"/>
      <c r="C97" s="213"/>
      <c r="D97" s="11"/>
      <c r="E97" s="12"/>
      <c r="F97" s="12"/>
      <c r="G97" s="12"/>
      <c r="H97" s="26"/>
      <c r="I97" s="16"/>
      <c r="J97" s="12"/>
      <c r="K97" s="12"/>
      <c r="L97" s="12"/>
      <c r="M97" s="26"/>
      <c r="N97" s="16"/>
      <c r="O97" s="104"/>
      <c r="P97" s="11"/>
    </row>
    <row r="98" spans="1:16" x14ac:dyDescent="0.3">
      <c r="A98" s="208" t="s">
        <v>41</v>
      </c>
      <c r="B98" s="209"/>
      <c r="C98" s="210"/>
      <c r="D98" s="19">
        <v>310400000000000</v>
      </c>
      <c r="E98" s="34"/>
      <c r="F98" s="34"/>
      <c r="G98" s="34"/>
      <c r="H98" s="29"/>
      <c r="I98" s="51"/>
      <c r="J98" s="9"/>
      <c r="K98" s="9"/>
      <c r="L98" s="9"/>
      <c r="M98" s="9"/>
      <c r="N98" s="9"/>
      <c r="O98" s="71"/>
      <c r="P98" s="9"/>
    </row>
    <row r="99" spans="1:16" x14ac:dyDescent="0.3">
      <c r="A99" s="211" t="s">
        <v>86</v>
      </c>
      <c r="B99" s="212"/>
      <c r="C99" s="213"/>
      <c r="D99" s="11"/>
      <c r="E99" s="82"/>
      <c r="F99" s="82"/>
      <c r="G99" s="82"/>
      <c r="H99" s="83"/>
      <c r="I99" s="93"/>
      <c r="J99" s="87"/>
      <c r="K99" s="87"/>
      <c r="L99" s="87"/>
      <c r="M99" s="87"/>
      <c r="N99" s="87"/>
      <c r="O99" s="103"/>
      <c r="P99" s="87"/>
    </row>
    <row r="100" spans="1:16" ht="13" customHeight="1" x14ac:dyDescent="0.3">
      <c r="A100" s="243" t="s">
        <v>87</v>
      </c>
      <c r="B100" s="244"/>
      <c r="C100" s="245"/>
      <c r="D100" s="16"/>
      <c r="E100" s="82"/>
      <c r="F100" s="82"/>
      <c r="G100" s="82"/>
      <c r="H100" s="83"/>
      <c r="I100" s="86"/>
      <c r="J100" s="86"/>
      <c r="K100" s="86"/>
      <c r="L100" s="86"/>
      <c r="M100" s="86"/>
      <c r="N100" s="86"/>
      <c r="O100" s="103"/>
      <c r="P100" s="86"/>
    </row>
    <row r="101" spans="1:16" ht="15.5" customHeight="1" x14ac:dyDescent="0.3">
      <c r="A101" s="246" t="s">
        <v>56</v>
      </c>
      <c r="B101" s="247"/>
      <c r="C101" s="248"/>
      <c r="D101" s="11"/>
      <c r="E101" s="82"/>
      <c r="F101" s="82"/>
      <c r="G101" s="82"/>
      <c r="H101" s="68"/>
      <c r="I101" s="96">
        <f>H101</f>
        <v>0</v>
      </c>
      <c r="J101" s="82"/>
      <c r="K101" s="82"/>
      <c r="L101" s="82"/>
      <c r="M101" s="101"/>
      <c r="N101" s="102">
        <f>M101</f>
        <v>0</v>
      </c>
      <c r="O101" s="71">
        <f t="shared" si="12"/>
        <v>0</v>
      </c>
      <c r="P101" s="11"/>
    </row>
    <row r="102" spans="1:16" ht="15.5" customHeight="1" x14ac:dyDescent="0.3">
      <c r="A102" s="246" t="s">
        <v>88</v>
      </c>
      <c r="B102" s="247"/>
      <c r="C102" s="248"/>
      <c r="D102" s="11"/>
      <c r="E102" s="82"/>
      <c r="F102" s="82"/>
      <c r="G102" s="82"/>
      <c r="H102" s="31"/>
      <c r="I102" s="96">
        <f>H102</f>
        <v>0</v>
      </c>
      <c r="J102" s="82"/>
      <c r="K102" s="82"/>
      <c r="L102" s="82"/>
      <c r="M102" s="101"/>
      <c r="N102" s="102">
        <f>M102</f>
        <v>0</v>
      </c>
      <c r="O102" s="71">
        <f t="shared" si="12"/>
        <v>0</v>
      </c>
      <c r="P102" s="11"/>
    </row>
    <row r="103" spans="1:16" ht="13" customHeight="1" x14ac:dyDescent="0.3">
      <c r="A103" s="243" t="s">
        <v>89</v>
      </c>
      <c r="B103" s="244"/>
      <c r="C103" s="245"/>
      <c r="D103" s="16"/>
      <c r="E103" s="82"/>
      <c r="F103" s="82"/>
      <c r="G103" s="82"/>
      <c r="H103" s="100"/>
      <c r="I103" s="86"/>
      <c r="J103" s="82"/>
      <c r="K103" s="82"/>
      <c r="L103" s="82"/>
      <c r="M103" s="86"/>
      <c r="N103" s="86"/>
      <c r="O103" s="103"/>
      <c r="P103" s="86"/>
    </row>
    <row r="104" spans="1:16" ht="15.5" customHeight="1" x14ac:dyDescent="0.3">
      <c r="A104" s="246" t="s">
        <v>56</v>
      </c>
      <c r="B104" s="247"/>
      <c r="C104" s="248"/>
      <c r="D104" s="11"/>
      <c r="E104" s="82"/>
      <c r="F104" s="82"/>
      <c r="G104" s="82"/>
      <c r="H104" s="31"/>
      <c r="I104" s="96">
        <f>H104</f>
        <v>0</v>
      </c>
      <c r="J104" s="82"/>
      <c r="K104" s="82"/>
      <c r="L104" s="82"/>
      <c r="M104" s="101"/>
      <c r="N104" s="71">
        <f>M104</f>
        <v>0</v>
      </c>
      <c r="O104" s="71">
        <f t="shared" si="12"/>
        <v>0</v>
      </c>
      <c r="P104" s="11"/>
    </row>
    <row r="105" spans="1:16" ht="15.5" customHeight="1" x14ac:dyDescent="0.3">
      <c r="A105" s="246" t="s">
        <v>88</v>
      </c>
      <c r="B105" s="247"/>
      <c r="C105" s="248"/>
      <c r="D105" s="11"/>
      <c r="E105" s="82"/>
      <c r="F105" s="82"/>
      <c r="G105" s="82"/>
      <c r="H105" s="31"/>
      <c r="I105" s="96">
        <f>H105</f>
        <v>0</v>
      </c>
      <c r="J105" s="82"/>
      <c r="K105" s="82"/>
      <c r="L105" s="82"/>
      <c r="M105" s="101"/>
      <c r="N105" s="71">
        <f>M105</f>
        <v>0</v>
      </c>
      <c r="O105" s="71">
        <f t="shared" si="12"/>
        <v>0</v>
      </c>
      <c r="P105" s="11"/>
    </row>
    <row r="106" spans="1:16" ht="27.65" customHeight="1" x14ac:dyDescent="0.3">
      <c r="A106" s="243" t="s">
        <v>90</v>
      </c>
      <c r="B106" s="244"/>
      <c r="C106" s="245"/>
      <c r="D106" s="16"/>
      <c r="E106" s="82"/>
      <c r="F106" s="82"/>
      <c r="G106" s="82"/>
      <c r="H106" s="83"/>
      <c r="I106" s="86"/>
      <c r="J106" s="86"/>
      <c r="K106" s="86"/>
      <c r="L106" s="86"/>
      <c r="M106" s="86"/>
      <c r="N106" s="86"/>
      <c r="O106" s="103"/>
      <c r="P106" s="86"/>
    </row>
    <row r="107" spans="1:16" ht="15.5" customHeight="1" x14ac:dyDescent="0.3">
      <c r="A107" s="246" t="s">
        <v>91</v>
      </c>
      <c r="B107" s="247"/>
      <c r="C107" s="248"/>
      <c r="D107" s="11"/>
      <c r="E107" s="109">
        <v>1</v>
      </c>
      <c r="F107" s="82"/>
      <c r="G107" s="82"/>
      <c r="H107" s="83"/>
      <c r="I107" s="96">
        <f>E107</f>
        <v>1</v>
      </c>
      <c r="J107" s="156" t="s">
        <v>170</v>
      </c>
      <c r="K107" s="82"/>
      <c r="L107" s="82"/>
      <c r="M107" s="83"/>
      <c r="N107" s="71" t="str">
        <f>J107</f>
        <v>-</v>
      </c>
      <c r="O107" s="71" t="e">
        <f t="shared" si="12"/>
        <v>#VALUE!</v>
      </c>
      <c r="P107" s="11"/>
    </row>
    <row r="108" spans="1:16" ht="15.5" customHeight="1" x14ac:dyDescent="0.3">
      <c r="A108" s="246" t="s">
        <v>92</v>
      </c>
      <c r="B108" s="247"/>
      <c r="C108" s="248"/>
      <c r="D108" s="11"/>
      <c r="E108" s="109">
        <v>1</v>
      </c>
      <c r="F108" s="82"/>
      <c r="G108" s="82"/>
      <c r="H108" s="83"/>
      <c r="I108" s="96">
        <f t="shared" ref="I108:I109" si="15">E108</f>
        <v>1</v>
      </c>
      <c r="J108" s="156" t="s">
        <v>170</v>
      </c>
      <c r="K108" s="82"/>
      <c r="L108" s="82"/>
      <c r="M108" s="83"/>
      <c r="N108" s="71" t="str">
        <f t="shared" ref="N108:N109" si="16">J108</f>
        <v>-</v>
      </c>
      <c r="O108" s="71" t="e">
        <f t="shared" si="12"/>
        <v>#VALUE!</v>
      </c>
      <c r="P108" s="11"/>
    </row>
    <row r="109" spans="1:16" ht="15.5" customHeight="1" x14ac:dyDescent="0.3">
      <c r="A109" s="246" t="s">
        <v>93</v>
      </c>
      <c r="B109" s="247"/>
      <c r="C109" s="248"/>
      <c r="D109" s="11"/>
      <c r="E109" s="109">
        <v>1</v>
      </c>
      <c r="F109" s="82"/>
      <c r="G109" s="82"/>
      <c r="H109" s="83"/>
      <c r="I109" s="96">
        <f t="shared" si="15"/>
        <v>1</v>
      </c>
      <c r="J109" s="156" t="s">
        <v>170</v>
      </c>
      <c r="K109" s="82"/>
      <c r="L109" s="82"/>
      <c r="M109" s="83"/>
      <c r="N109" s="71" t="str">
        <f t="shared" si="16"/>
        <v>-</v>
      </c>
      <c r="O109" s="71" t="e">
        <f t="shared" si="12"/>
        <v>#VALUE!</v>
      </c>
      <c r="P109" s="11"/>
    </row>
    <row r="110" spans="1:16" ht="15.5" customHeight="1" x14ac:dyDescent="0.3">
      <c r="A110" s="14"/>
      <c r="B110" s="3"/>
      <c r="C110" s="15"/>
      <c r="D110" s="11"/>
      <c r="E110" s="12"/>
      <c r="F110" s="12"/>
      <c r="G110" s="12"/>
      <c r="H110" s="26"/>
      <c r="I110" s="13"/>
      <c r="J110" s="11"/>
      <c r="K110" s="11"/>
      <c r="L110" s="11"/>
      <c r="M110" s="11"/>
      <c r="N110" s="11"/>
      <c r="O110" s="71"/>
      <c r="P110" s="11"/>
    </row>
    <row r="111" spans="1:16" x14ac:dyDescent="0.3">
      <c r="A111" s="211" t="s">
        <v>24</v>
      </c>
      <c r="B111" s="212"/>
      <c r="C111" s="213"/>
      <c r="D111" s="11"/>
      <c r="E111" s="82"/>
      <c r="F111" s="82"/>
      <c r="G111" s="82"/>
      <c r="H111" s="83"/>
      <c r="I111" s="93"/>
      <c r="J111" s="87"/>
      <c r="K111" s="87"/>
      <c r="L111" s="87"/>
      <c r="M111" s="87"/>
      <c r="N111" s="87"/>
      <c r="O111" s="103"/>
      <c r="P111" s="87"/>
    </row>
    <row r="112" spans="1:16" s="22" customFormat="1" ht="22.25" customHeight="1" x14ac:dyDescent="0.3">
      <c r="A112" s="252" t="s">
        <v>94</v>
      </c>
      <c r="B112" s="253"/>
      <c r="C112" s="254"/>
      <c r="D112" s="16"/>
      <c r="E112" s="82"/>
      <c r="F112" s="82"/>
      <c r="G112" s="82"/>
      <c r="H112" s="83"/>
      <c r="I112" s="86"/>
      <c r="J112" s="86"/>
      <c r="K112" s="86"/>
      <c r="L112" s="86"/>
      <c r="M112" s="86"/>
      <c r="N112" s="86"/>
      <c r="O112" s="103"/>
      <c r="P112" s="86"/>
    </row>
    <row r="113" spans="1:16" ht="15.5" customHeight="1" x14ac:dyDescent="0.3">
      <c r="A113" s="211" t="s">
        <v>28</v>
      </c>
      <c r="B113" s="212"/>
      <c r="C113" s="213"/>
      <c r="D113" s="11"/>
      <c r="E113" s="82"/>
      <c r="F113" s="82"/>
      <c r="G113" s="82"/>
      <c r="H113" s="63"/>
      <c r="I113" s="13">
        <f>H113</f>
        <v>0</v>
      </c>
      <c r="J113" s="82"/>
      <c r="K113" s="82"/>
      <c r="L113" s="82"/>
      <c r="M113" s="11"/>
      <c r="N113" s="12">
        <f>M113</f>
        <v>0</v>
      </c>
      <c r="O113" s="12">
        <f t="shared" si="12"/>
        <v>0</v>
      </c>
      <c r="P113" s="11"/>
    </row>
    <row r="114" spans="1:16" ht="15.5" customHeight="1" x14ac:dyDescent="0.3">
      <c r="A114" s="211" t="s">
        <v>29</v>
      </c>
      <c r="B114" s="212"/>
      <c r="C114" s="213"/>
      <c r="D114" s="11"/>
      <c r="E114" s="82"/>
      <c r="F114" s="82"/>
      <c r="G114" s="82"/>
      <c r="H114" s="63"/>
      <c r="I114" s="13">
        <f>H114</f>
        <v>0</v>
      </c>
      <c r="J114" s="82"/>
      <c r="K114" s="82"/>
      <c r="L114" s="82"/>
      <c r="M114" s="11"/>
      <c r="N114" s="12">
        <f>M114</f>
        <v>0</v>
      </c>
      <c r="O114" s="12">
        <f t="shared" si="12"/>
        <v>0</v>
      </c>
      <c r="P114" s="11"/>
    </row>
    <row r="115" spans="1:16" ht="15.5" customHeight="1" x14ac:dyDescent="0.3">
      <c r="A115" s="14"/>
      <c r="B115" s="3"/>
      <c r="C115" s="15"/>
      <c r="D115" s="11"/>
      <c r="E115" s="12"/>
      <c r="F115" s="12"/>
      <c r="G115" s="12"/>
      <c r="H115" s="26"/>
      <c r="I115" s="13"/>
      <c r="J115" s="11"/>
      <c r="K115" s="11"/>
      <c r="L115" s="11"/>
      <c r="M115" s="11"/>
      <c r="N115" s="11"/>
      <c r="O115" s="71"/>
      <c r="P115" s="11"/>
    </row>
    <row r="116" spans="1:16" ht="13" customHeight="1" x14ac:dyDescent="0.3">
      <c r="A116" s="243" t="s">
        <v>95</v>
      </c>
      <c r="B116" s="244"/>
      <c r="C116" s="245"/>
      <c r="D116" s="11"/>
      <c r="E116" s="82"/>
      <c r="F116" s="82"/>
      <c r="G116" s="82"/>
      <c r="H116" s="83"/>
      <c r="I116" s="86"/>
      <c r="J116" s="87"/>
      <c r="K116" s="87"/>
      <c r="L116" s="87"/>
      <c r="M116" s="87"/>
      <c r="N116" s="87"/>
      <c r="O116" s="103"/>
      <c r="P116" s="87"/>
    </row>
    <row r="117" spans="1:16" ht="15.5" customHeight="1" x14ac:dyDescent="0.3">
      <c r="A117" s="211" t="s">
        <v>30</v>
      </c>
      <c r="B117" s="212"/>
      <c r="C117" s="213"/>
      <c r="D117" s="11"/>
      <c r="E117" s="82"/>
      <c r="F117" s="82"/>
      <c r="G117" s="82"/>
      <c r="H117" s="26"/>
      <c r="I117" s="13">
        <f>H117</f>
        <v>0</v>
      </c>
      <c r="J117" s="82"/>
      <c r="K117" s="82"/>
      <c r="L117" s="82"/>
      <c r="M117" s="11"/>
      <c r="N117" s="12">
        <f>M117</f>
        <v>0</v>
      </c>
      <c r="O117" s="12">
        <f t="shared" si="12"/>
        <v>0</v>
      </c>
      <c r="P117" s="11"/>
    </row>
    <row r="118" spans="1:16" ht="15.5" customHeight="1" x14ac:dyDescent="0.3">
      <c r="A118" s="211" t="s">
        <v>31</v>
      </c>
      <c r="B118" s="212"/>
      <c r="C118" s="213"/>
      <c r="D118" s="11"/>
      <c r="E118" s="82"/>
      <c r="F118" s="82"/>
      <c r="G118" s="82"/>
      <c r="H118" s="26"/>
      <c r="I118" s="13">
        <f t="shared" ref="I118:I119" si="17">H118</f>
        <v>0</v>
      </c>
      <c r="J118" s="82"/>
      <c r="K118" s="82"/>
      <c r="L118" s="82"/>
      <c r="M118" s="11"/>
      <c r="N118" s="12">
        <f t="shared" ref="N118:N119" si="18">M118</f>
        <v>0</v>
      </c>
      <c r="O118" s="12">
        <f t="shared" si="12"/>
        <v>0</v>
      </c>
      <c r="P118" s="11"/>
    </row>
    <row r="119" spans="1:16" ht="15.5" customHeight="1" x14ac:dyDescent="0.3">
      <c r="A119" s="211" t="s">
        <v>32</v>
      </c>
      <c r="B119" s="212"/>
      <c r="C119" s="213"/>
      <c r="D119" s="11"/>
      <c r="E119" s="82"/>
      <c r="F119" s="82"/>
      <c r="G119" s="82"/>
      <c r="H119" s="26"/>
      <c r="I119" s="13">
        <f t="shared" si="17"/>
        <v>0</v>
      </c>
      <c r="J119" s="82"/>
      <c r="K119" s="82"/>
      <c r="L119" s="82"/>
      <c r="M119" s="11"/>
      <c r="N119" s="12">
        <f t="shared" si="18"/>
        <v>0</v>
      </c>
      <c r="O119" s="12">
        <f t="shared" si="12"/>
        <v>0</v>
      </c>
      <c r="P119" s="11"/>
    </row>
    <row r="120" spans="1:16" ht="13" customHeight="1" x14ac:dyDescent="0.3">
      <c r="A120" s="261"/>
      <c r="B120" s="262"/>
      <c r="C120" s="263"/>
      <c r="D120" s="16"/>
      <c r="E120" s="12"/>
      <c r="F120" s="12"/>
      <c r="G120" s="12"/>
      <c r="H120" s="26"/>
      <c r="I120" s="16"/>
      <c r="J120" s="16"/>
      <c r="K120" s="16"/>
      <c r="L120" s="16"/>
      <c r="M120" s="16"/>
      <c r="N120" s="16"/>
      <c r="O120" s="104"/>
      <c r="P120" s="16"/>
    </row>
    <row r="121" spans="1:16" x14ac:dyDescent="0.3">
      <c r="A121" s="208" t="s">
        <v>40</v>
      </c>
      <c r="B121" s="209"/>
      <c r="C121" s="210"/>
      <c r="D121" s="19">
        <v>310500000000000</v>
      </c>
      <c r="E121" s="105"/>
      <c r="F121" s="105"/>
      <c r="G121" s="105"/>
      <c r="H121" s="106"/>
      <c r="I121" s="107"/>
      <c r="J121" s="108"/>
      <c r="K121" s="108"/>
      <c r="L121" s="108"/>
      <c r="M121" s="108"/>
      <c r="N121" s="108"/>
      <c r="O121" s="103"/>
      <c r="P121" s="108"/>
    </row>
    <row r="122" spans="1:16" x14ac:dyDescent="0.3">
      <c r="A122" s="233" t="s">
        <v>86</v>
      </c>
      <c r="B122" s="234"/>
      <c r="C122" s="235"/>
      <c r="D122" s="87"/>
      <c r="E122" s="82"/>
      <c r="F122" s="82"/>
      <c r="G122" s="82"/>
      <c r="H122" s="83"/>
      <c r="I122" s="93"/>
      <c r="J122" s="87"/>
      <c r="K122" s="87"/>
      <c r="L122" s="87"/>
      <c r="M122" s="87"/>
      <c r="N122" s="87"/>
      <c r="O122" s="103"/>
      <c r="P122" s="87"/>
    </row>
    <row r="123" spans="1:16" s="10" customFormat="1" ht="28.25" customHeight="1" x14ac:dyDescent="0.35">
      <c r="A123" s="227" t="s">
        <v>96</v>
      </c>
      <c r="B123" s="228"/>
      <c r="C123" s="229"/>
      <c r="D123" s="12"/>
      <c r="E123" s="98"/>
      <c r="F123" s="98"/>
      <c r="G123" s="98"/>
      <c r="H123" s="68"/>
      <c r="I123" s="98" t="e">
        <f>AVERAGE(E123:H123)</f>
        <v>#DIV/0!</v>
      </c>
      <c r="J123" s="98" t="s">
        <v>170</v>
      </c>
      <c r="K123" s="12"/>
      <c r="L123" s="12"/>
      <c r="M123" s="12"/>
      <c r="N123" s="12" t="e">
        <f>AVERAGE(J123:M123)</f>
        <v>#DIV/0!</v>
      </c>
      <c r="O123" s="71" t="e">
        <f t="shared" si="12"/>
        <v>#DIV/0!</v>
      </c>
      <c r="P123" s="12"/>
    </row>
    <row r="124" spans="1:16" s="10" customFormat="1" ht="15.5" customHeight="1" x14ac:dyDescent="0.35">
      <c r="A124" s="72"/>
      <c r="B124" s="73"/>
      <c r="C124" s="74" t="s">
        <v>109</v>
      </c>
      <c r="D124" s="12"/>
      <c r="E124" s="98"/>
      <c r="F124" s="98"/>
      <c r="G124" s="98"/>
      <c r="H124" s="68"/>
      <c r="I124" s="98" t="e">
        <f>AVERAGE(E124:H124)</f>
        <v>#DIV/0!</v>
      </c>
      <c r="J124" s="71">
        <v>1</v>
      </c>
      <c r="K124" s="12"/>
      <c r="L124" s="12"/>
      <c r="M124" s="12"/>
      <c r="N124" s="12">
        <f>AVERAGE(J124:M124)</f>
        <v>1</v>
      </c>
      <c r="O124" s="71" t="e">
        <f t="shared" si="12"/>
        <v>#DIV/0!</v>
      </c>
      <c r="P124" s="12"/>
    </row>
    <row r="125" spans="1:16" s="10" customFormat="1" ht="15.5" customHeight="1" x14ac:dyDescent="0.35">
      <c r="A125" s="72"/>
      <c r="B125" s="73"/>
      <c r="C125" s="75" t="s">
        <v>110</v>
      </c>
      <c r="D125" s="12"/>
      <c r="E125" s="12"/>
      <c r="F125" s="12"/>
      <c r="G125" s="12"/>
      <c r="H125" s="26"/>
      <c r="I125" s="52" t="e">
        <f>AVERAGE(E125:H125)</f>
        <v>#DIV/0!</v>
      </c>
      <c r="J125" s="12" t="s">
        <v>170</v>
      </c>
      <c r="K125" s="12"/>
      <c r="L125" s="12"/>
      <c r="M125" s="12"/>
      <c r="N125" s="12" t="e">
        <f t="shared" ref="N125:N128" si="19">AVERAGE(J125:M125)</f>
        <v>#DIV/0!</v>
      </c>
      <c r="O125" s="71" t="e">
        <f t="shared" si="12"/>
        <v>#DIV/0!</v>
      </c>
      <c r="P125" s="12"/>
    </row>
    <row r="126" spans="1:16" s="10" customFormat="1" ht="15.5" customHeight="1" x14ac:dyDescent="0.35">
      <c r="A126" s="72"/>
      <c r="B126" s="73"/>
      <c r="C126" s="75" t="s">
        <v>56</v>
      </c>
      <c r="D126" s="12"/>
      <c r="E126" s="12"/>
      <c r="F126" s="12"/>
      <c r="G126" s="12"/>
      <c r="H126" s="26"/>
      <c r="I126" s="52" t="e">
        <f t="shared" ref="I126:I128" si="20">AVERAGE(E126:H126)</f>
        <v>#DIV/0!</v>
      </c>
      <c r="J126" s="12" t="s">
        <v>170</v>
      </c>
      <c r="K126" s="12"/>
      <c r="L126" s="12"/>
      <c r="M126" s="12"/>
      <c r="N126" s="12" t="e">
        <f t="shared" si="19"/>
        <v>#DIV/0!</v>
      </c>
      <c r="O126" s="71" t="e">
        <f t="shared" si="12"/>
        <v>#DIV/0!</v>
      </c>
      <c r="P126" s="12"/>
    </row>
    <row r="127" spans="1:16" s="10" customFormat="1" ht="15.5" customHeight="1" x14ac:dyDescent="0.35">
      <c r="A127" s="72"/>
      <c r="B127" s="73"/>
      <c r="C127" s="75" t="s">
        <v>57</v>
      </c>
      <c r="D127" s="12"/>
      <c r="E127" s="12"/>
      <c r="F127" s="12"/>
      <c r="G127" s="12"/>
      <c r="H127" s="26"/>
      <c r="I127" s="52" t="e">
        <f t="shared" si="20"/>
        <v>#DIV/0!</v>
      </c>
      <c r="J127" s="12" t="s">
        <v>170</v>
      </c>
      <c r="K127" s="12"/>
      <c r="L127" s="12"/>
      <c r="M127" s="12"/>
      <c r="N127" s="12" t="e">
        <f t="shared" si="19"/>
        <v>#DIV/0!</v>
      </c>
      <c r="O127" s="71" t="e">
        <f t="shared" si="12"/>
        <v>#DIV/0!</v>
      </c>
      <c r="P127" s="12"/>
    </row>
    <row r="128" spans="1:16" s="10" customFormat="1" ht="15.5" customHeight="1" x14ac:dyDescent="0.35">
      <c r="A128" s="72"/>
      <c r="B128" s="73"/>
      <c r="C128" s="75" t="s">
        <v>58</v>
      </c>
      <c r="D128" s="12"/>
      <c r="E128" s="12"/>
      <c r="F128" s="12"/>
      <c r="G128" s="12"/>
      <c r="H128" s="26"/>
      <c r="I128" s="52" t="e">
        <f t="shared" si="20"/>
        <v>#DIV/0!</v>
      </c>
      <c r="J128" s="12" t="s">
        <v>170</v>
      </c>
      <c r="K128" s="12"/>
      <c r="L128" s="12"/>
      <c r="M128" s="12"/>
      <c r="N128" s="12" t="e">
        <f t="shared" si="19"/>
        <v>#DIV/0!</v>
      </c>
      <c r="O128" s="71" t="e">
        <f t="shared" si="12"/>
        <v>#DIV/0!</v>
      </c>
      <c r="P128" s="12"/>
    </row>
    <row r="129" spans="1:16" s="10" customFormat="1" ht="15.5" customHeight="1" x14ac:dyDescent="0.35">
      <c r="A129" s="72"/>
      <c r="B129" s="73"/>
      <c r="C129" s="74"/>
      <c r="D129" s="12"/>
      <c r="E129" s="12"/>
      <c r="F129" s="12"/>
      <c r="G129" s="12"/>
      <c r="H129" s="26"/>
      <c r="I129" s="52"/>
      <c r="J129" s="12"/>
      <c r="K129" s="12"/>
      <c r="L129" s="12"/>
      <c r="M129" s="12"/>
      <c r="N129" s="12"/>
      <c r="O129" s="71"/>
      <c r="P129" s="12"/>
    </row>
    <row r="130" spans="1:16" x14ac:dyDescent="0.3">
      <c r="A130" s="224" t="s">
        <v>59</v>
      </c>
      <c r="B130" s="225"/>
      <c r="C130" s="226"/>
      <c r="D130" s="87"/>
      <c r="E130" s="82"/>
      <c r="F130" s="82"/>
      <c r="G130" s="82"/>
      <c r="H130" s="83"/>
      <c r="I130" s="93"/>
      <c r="J130" s="87"/>
      <c r="K130" s="87"/>
      <c r="L130" s="87"/>
      <c r="M130" s="87"/>
      <c r="N130" s="87"/>
      <c r="O130" s="103"/>
      <c r="P130" s="87"/>
    </row>
    <row r="131" spans="1:16" ht="31.25" customHeight="1" x14ac:dyDescent="0.3">
      <c r="A131" s="227" t="s">
        <v>97</v>
      </c>
      <c r="B131" s="228"/>
      <c r="C131" s="229"/>
      <c r="D131" s="16"/>
      <c r="E131" s="12"/>
      <c r="F131" s="12"/>
      <c r="G131" s="12"/>
      <c r="H131" s="26"/>
      <c r="I131" s="12"/>
      <c r="J131" s="16">
        <f>J132+0</f>
        <v>192</v>
      </c>
      <c r="K131" s="16"/>
      <c r="L131" s="16"/>
      <c r="M131" s="16"/>
      <c r="N131" s="12"/>
      <c r="O131" s="12"/>
      <c r="P131" s="16"/>
    </row>
    <row r="132" spans="1:16" ht="14.5" customHeight="1" x14ac:dyDescent="0.3">
      <c r="A132" s="227" t="s">
        <v>113</v>
      </c>
      <c r="B132" s="228"/>
      <c r="C132" s="229"/>
      <c r="D132" s="16"/>
      <c r="E132" s="12"/>
      <c r="F132" s="12"/>
      <c r="G132" s="12"/>
      <c r="H132" s="26"/>
      <c r="I132" s="12">
        <f>SUM(E132:H132)</f>
        <v>0</v>
      </c>
      <c r="J132" s="16">
        <v>192</v>
      </c>
      <c r="K132" s="16"/>
      <c r="L132" s="16"/>
      <c r="M132" s="16"/>
      <c r="N132" s="12">
        <f>SUM(J132:M132)</f>
        <v>192</v>
      </c>
      <c r="O132" s="12">
        <f t="shared" ref="O132:O134" si="21">N132-I132</f>
        <v>192</v>
      </c>
      <c r="P132" s="16"/>
    </row>
    <row r="133" spans="1:16" ht="14.5" customHeight="1" x14ac:dyDescent="0.3">
      <c r="A133" s="227" t="s">
        <v>114</v>
      </c>
      <c r="B133" s="228"/>
      <c r="C133" s="229"/>
      <c r="D133" s="16"/>
      <c r="E133" s="12"/>
      <c r="F133" s="12"/>
      <c r="G133" s="12"/>
      <c r="H133" s="26"/>
      <c r="I133" s="12">
        <f>SUM(E133:H133)</f>
        <v>0</v>
      </c>
      <c r="J133" s="16" t="s">
        <v>170</v>
      </c>
      <c r="K133" s="16"/>
      <c r="L133" s="16"/>
      <c r="M133" s="16"/>
      <c r="N133" s="12">
        <f>SUM(J133:M133)</f>
        <v>0</v>
      </c>
      <c r="O133" s="12">
        <f t="shared" si="21"/>
        <v>0</v>
      </c>
      <c r="P133" s="16"/>
    </row>
    <row r="134" spans="1:16" ht="14.5" customHeight="1" x14ac:dyDescent="0.3">
      <c r="A134" s="227" t="s">
        <v>115</v>
      </c>
      <c r="B134" s="228"/>
      <c r="C134" s="229"/>
      <c r="D134" s="16"/>
      <c r="E134" s="12"/>
      <c r="F134" s="12"/>
      <c r="G134" s="12"/>
      <c r="H134" s="26"/>
      <c r="I134" s="12">
        <f>SUM(E134:H134)</f>
        <v>0</v>
      </c>
      <c r="J134" s="16" t="s">
        <v>170</v>
      </c>
      <c r="K134" s="16"/>
      <c r="L134" s="16"/>
      <c r="M134" s="16"/>
      <c r="N134" s="12">
        <f>SUM(J134:M134)</f>
        <v>0</v>
      </c>
      <c r="O134" s="12">
        <f t="shared" si="21"/>
        <v>0</v>
      </c>
      <c r="P134" s="16"/>
    </row>
    <row r="135" spans="1:16" ht="14.5" customHeight="1" x14ac:dyDescent="0.3">
      <c r="A135" s="240"/>
      <c r="B135" s="241"/>
      <c r="C135" s="242"/>
      <c r="D135" s="110"/>
      <c r="E135" s="111"/>
      <c r="F135" s="111"/>
      <c r="G135" s="111"/>
      <c r="H135" s="112"/>
      <c r="I135" s="111"/>
      <c r="J135" s="110"/>
      <c r="K135" s="110"/>
      <c r="L135" s="110"/>
      <c r="M135" s="110"/>
      <c r="N135" s="111"/>
      <c r="O135" s="111"/>
      <c r="P135" s="110"/>
    </row>
    <row r="136" spans="1:16" x14ac:dyDescent="0.3">
      <c r="A136" s="215"/>
      <c r="B136" s="215"/>
      <c r="C136" s="215"/>
    </row>
    <row r="137" spans="1:16" x14ac:dyDescent="0.3">
      <c r="A137" s="268" t="s">
        <v>34</v>
      </c>
      <c r="B137" s="268"/>
      <c r="C137" s="268"/>
      <c r="H137" s="268" t="s">
        <v>35</v>
      </c>
      <c r="I137" s="268"/>
      <c r="J137" s="268"/>
      <c r="M137" s="268" t="s">
        <v>14</v>
      </c>
      <c r="N137" s="268"/>
      <c r="O137" s="268"/>
    </row>
    <row r="138" spans="1:16" x14ac:dyDescent="0.3">
      <c r="A138" s="215"/>
      <c r="B138" s="215"/>
      <c r="C138" s="215"/>
      <c r="H138" s="215"/>
      <c r="I138" s="215"/>
      <c r="J138" s="215"/>
      <c r="M138" s="215"/>
      <c r="N138" s="215"/>
      <c r="O138" s="215"/>
    </row>
    <row r="139" spans="1:16" x14ac:dyDescent="0.3">
      <c r="A139" s="307"/>
      <c r="B139" s="307"/>
      <c r="C139" s="307"/>
      <c r="H139" s="307"/>
      <c r="I139" s="307"/>
      <c r="J139" s="307"/>
      <c r="M139" s="307"/>
      <c r="N139" s="307"/>
      <c r="O139" s="307"/>
    </row>
    <row r="140" spans="1:16" x14ac:dyDescent="0.3">
      <c r="A140" s="209"/>
      <c r="B140" s="209"/>
      <c r="C140" s="209"/>
      <c r="H140" s="209"/>
      <c r="I140" s="209"/>
      <c r="J140" s="209"/>
      <c r="M140" s="1" t="s">
        <v>33</v>
      </c>
      <c r="N140" s="1"/>
      <c r="O140" s="1"/>
      <c r="P140" s="3"/>
    </row>
    <row r="141" spans="1:16" x14ac:dyDescent="0.3">
      <c r="A141" s="267" t="s">
        <v>13</v>
      </c>
      <c r="B141" s="267"/>
      <c r="C141" s="267"/>
      <c r="H141" s="30" t="s">
        <v>13</v>
      </c>
      <c r="M141" s="267" t="s">
        <v>13</v>
      </c>
      <c r="N141" s="267"/>
      <c r="O141" s="267"/>
      <c r="P141" s="267"/>
    </row>
  </sheetData>
  <mergeCells count="117">
    <mergeCell ref="O1:P1"/>
    <mergeCell ref="O2:P2"/>
    <mergeCell ref="E4:J4"/>
    <mergeCell ref="E5:J5"/>
    <mergeCell ref="C8:D8"/>
    <mergeCell ref="C9:D9"/>
    <mergeCell ref="O13:O14"/>
    <mergeCell ref="P13:P14"/>
    <mergeCell ref="A15:C15"/>
    <mergeCell ref="A16:C16"/>
    <mergeCell ref="A17:C17"/>
    <mergeCell ref="A18:C18"/>
    <mergeCell ref="C10:D10"/>
    <mergeCell ref="C11:D11"/>
    <mergeCell ref="A13:C14"/>
    <mergeCell ref="D13:D14"/>
    <mergeCell ref="E13:I13"/>
    <mergeCell ref="J13:N13"/>
    <mergeCell ref="A28:C28"/>
    <mergeCell ref="A29:C29"/>
    <mergeCell ref="A30:C30"/>
    <mergeCell ref="A31:C31"/>
    <mergeCell ref="A32:C32"/>
    <mergeCell ref="A36:C36"/>
    <mergeCell ref="A19:C19"/>
    <mergeCell ref="A21:C21"/>
    <mergeCell ref="A23:C23"/>
    <mergeCell ref="A24:C24"/>
    <mergeCell ref="A25:C25"/>
    <mergeCell ref="A27:C27"/>
    <mergeCell ref="A50:C50"/>
    <mergeCell ref="A52:C52"/>
    <mergeCell ref="A55:C55"/>
    <mergeCell ref="A56:C56"/>
    <mergeCell ref="A58:C58"/>
    <mergeCell ref="A60:C60"/>
    <mergeCell ref="A38:C38"/>
    <mergeCell ref="A41:C41"/>
    <mergeCell ref="A42:C42"/>
    <mergeCell ref="A44:C44"/>
    <mergeCell ref="A46:C46"/>
    <mergeCell ref="A48:C48"/>
    <mergeCell ref="A69:C69"/>
    <mergeCell ref="A70:C70"/>
    <mergeCell ref="A71:C71"/>
    <mergeCell ref="A72:C72"/>
    <mergeCell ref="A73:C73"/>
    <mergeCell ref="A74:C74"/>
    <mergeCell ref="A62:C62"/>
    <mergeCell ref="A63:C63"/>
    <mergeCell ref="A64:C64"/>
    <mergeCell ref="A65:C65"/>
    <mergeCell ref="A66:C66"/>
    <mergeCell ref="A67:C67"/>
    <mergeCell ref="A83:C83"/>
    <mergeCell ref="A85:C85"/>
    <mergeCell ref="A87:C87"/>
    <mergeCell ref="A88:C88"/>
    <mergeCell ref="A89:C89"/>
    <mergeCell ref="A90:C90"/>
    <mergeCell ref="A75:C75"/>
    <mergeCell ref="A76:C76"/>
    <mergeCell ref="A77:C77"/>
    <mergeCell ref="A78:C78"/>
    <mergeCell ref="A79:C79"/>
    <mergeCell ref="A81:C81"/>
    <mergeCell ref="A97:C97"/>
    <mergeCell ref="A98:C98"/>
    <mergeCell ref="A99:C99"/>
    <mergeCell ref="A100:C100"/>
    <mergeCell ref="A101:C101"/>
    <mergeCell ref="A102:C102"/>
    <mergeCell ref="A91:C91"/>
    <mergeCell ref="A92:C92"/>
    <mergeCell ref="A93:C93"/>
    <mergeCell ref="A94:C94"/>
    <mergeCell ref="A95:C95"/>
    <mergeCell ref="A96:C96"/>
    <mergeCell ref="A109:C109"/>
    <mergeCell ref="A111:C111"/>
    <mergeCell ref="A112:C112"/>
    <mergeCell ref="A113:C113"/>
    <mergeCell ref="A114:C114"/>
    <mergeCell ref="A116:C116"/>
    <mergeCell ref="A103:C103"/>
    <mergeCell ref="A104:C104"/>
    <mergeCell ref="A105:C105"/>
    <mergeCell ref="A106:C106"/>
    <mergeCell ref="A107:C107"/>
    <mergeCell ref="A108:C108"/>
    <mergeCell ref="A123:C123"/>
    <mergeCell ref="A130:C130"/>
    <mergeCell ref="A131:C131"/>
    <mergeCell ref="A132:C132"/>
    <mergeCell ref="A133:C133"/>
    <mergeCell ref="A134:C134"/>
    <mergeCell ref="A117:C117"/>
    <mergeCell ref="A118:C118"/>
    <mergeCell ref="A119:C119"/>
    <mergeCell ref="A120:C120"/>
    <mergeCell ref="A121:C121"/>
    <mergeCell ref="A122:C122"/>
    <mergeCell ref="A139:C139"/>
    <mergeCell ref="H139:J139"/>
    <mergeCell ref="M139:O139"/>
    <mergeCell ref="A140:C140"/>
    <mergeCell ref="H140:J140"/>
    <mergeCell ref="A141:C141"/>
    <mergeCell ref="M141:P141"/>
    <mergeCell ref="A135:C135"/>
    <mergeCell ref="A136:C136"/>
    <mergeCell ref="A137:C137"/>
    <mergeCell ref="H137:J137"/>
    <mergeCell ref="M137:O137"/>
    <mergeCell ref="A138:C138"/>
    <mergeCell ref="H138:J138"/>
    <mergeCell ref="M138:O138"/>
  </mergeCells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0339-CE6A-43B5-A07E-50F8F2206013}">
  <dimension ref="A1:P141"/>
  <sheetViews>
    <sheetView topLeftCell="D54" zoomScale="92" zoomScaleNormal="90" workbookViewId="0">
      <selection activeCell="P65" sqref="P65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123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ht="13.5" thickBot="1" x14ac:dyDescent="0.35">
      <c r="A15" s="272">
        <v>1</v>
      </c>
      <c r="B15" s="272"/>
      <c r="C15" s="272"/>
      <c r="D15" s="6">
        <v>2</v>
      </c>
      <c r="E15" s="6">
        <v>3</v>
      </c>
      <c r="F15" s="6">
        <v>4</v>
      </c>
      <c r="G15" s="6">
        <v>5</v>
      </c>
      <c r="H15" s="7">
        <v>6</v>
      </c>
      <c r="I15" s="6" t="s">
        <v>21</v>
      </c>
      <c r="J15" s="6">
        <v>8</v>
      </c>
      <c r="K15" s="6">
        <v>9</v>
      </c>
      <c r="L15" s="6">
        <v>10</v>
      </c>
      <c r="M15" s="6">
        <v>11</v>
      </c>
      <c r="N15" s="6" t="s">
        <v>22</v>
      </c>
      <c r="O15" s="6">
        <v>13</v>
      </c>
      <c r="P15" s="6">
        <v>14</v>
      </c>
    </row>
    <row r="16" spans="1:16" ht="40.25" customHeight="1" x14ac:dyDescent="0.3">
      <c r="A16" s="285" t="s">
        <v>36</v>
      </c>
      <c r="B16" s="286"/>
      <c r="C16" s="287"/>
      <c r="D16" s="8"/>
      <c r="E16" s="33"/>
      <c r="F16" s="33"/>
      <c r="G16" s="33"/>
      <c r="H16" s="28"/>
      <c r="I16" s="50"/>
      <c r="J16" s="8"/>
      <c r="K16" s="8"/>
      <c r="L16" s="8"/>
      <c r="M16" s="8"/>
      <c r="N16" s="8"/>
      <c r="O16" s="8"/>
      <c r="P16" s="8"/>
    </row>
    <row r="17" spans="1:16" ht="13.25" customHeight="1" x14ac:dyDescent="0.3">
      <c r="A17" s="275" t="s">
        <v>37</v>
      </c>
      <c r="B17" s="276"/>
      <c r="C17" s="277"/>
      <c r="D17" s="20">
        <v>310100000000000</v>
      </c>
      <c r="E17" s="34"/>
      <c r="F17" s="34"/>
      <c r="G17" s="34"/>
      <c r="H17" s="29"/>
      <c r="I17" s="51"/>
      <c r="J17" s="9"/>
      <c r="K17" s="9"/>
      <c r="L17" s="9"/>
      <c r="M17" s="9"/>
      <c r="N17" s="9"/>
      <c r="O17" s="9"/>
      <c r="P17" s="9"/>
    </row>
    <row r="18" spans="1:16" x14ac:dyDescent="0.3">
      <c r="A18" s="314" t="s">
        <v>38</v>
      </c>
      <c r="B18" s="315"/>
      <c r="C18" s="316"/>
      <c r="D18" s="11"/>
      <c r="E18" s="82"/>
      <c r="F18" s="82"/>
      <c r="G18" s="82"/>
      <c r="H18" s="83"/>
      <c r="I18" s="93"/>
      <c r="J18" s="87"/>
      <c r="K18" s="87"/>
      <c r="L18" s="87"/>
      <c r="M18" s="87"/>
      <c r="N18" s="87"/>
      <c r="O18" s="87"/>
      <c r="P18" s="87"/>
    </row>
    <row r="19" spans="1:16" s="25" customFormat="1" ht="30" customHeight="1" x14ac:dyDescent="0.35">
      <c r="A19" s="252" t="s">
        <v>43</v>
      </c>
      <c r="B19" s="253"/>
      <c r="C19" s="254"/>
      <c r="D19" s="24"/>
      <c r="E19" s="76"/>
      <c r="F19" s="76"/>
      <c r="G19" s="76"/>
      <c r="H19" s="77"/>
      <c r="I19" s="78" t="e">
        <f>AVERAGE(E19:H19)</f>
        <v>#DIV/0!</v>
      </c>
      <c r="J19" s="97" t="s">
        <v>170</v>
      </c>
      <c r="K19" s="97"/>
      <c r="L19" s="97"/>
      <c r="M19" s="97"/>
      <c r="N19" s="98" t="e">
        <f>AVERAGE(J19:M19)</f>
        <v>#DIV/0!</v>
      </c>
      <c r="O19" s="71" t="e">
        <f>N19-I19</f>
        <v>#DIV/0!</v>
      </c>
      <c r="P19" s="24"/>
    </row>
    <row r="20" spans="1:16" s="25" customFormat="1" ht="19.75" customHeight="1" x14ac:dyDescent="0.35">
      <c r="A20" s="21"/>
      <c r="B20" s="22"/>
      <c r="C20" s="23"/>
      <c r="D20" s="24"/>
      <c r="E20" s="12"/>
      <c r="F20" s="12"/>
      <c r="G20" s="12"/>
      <c r="H20" s="54"/>
      <c r="I20" s="53"/>
      <c r="J20" s="24"/>
      <c r="K20" s="24"/>
      <c r="L20" s="24"/>
      <c r="M20" s="24"/>
      <c r="N20" s="24"/>
      <c r="O20" s="71"/>
      <c r="P20" s="24"/>
    </row>
    <row r="21" spans="1:16" s="25" customFormat="1" ht="14" customHeight="1" x14ac:dyDescent="0.35">
      <c r="A21" s="252" t="s">
        <v>44</v>
      </c>
      <c r="B21" s="253"/>
      <c r="C21" s="254"/>
      <c r="D21" s="24"/>
      <c r="E21" s="76"/>
      <c r="F21" s="76"/>
      <c r="G21" s="76"/>
      <c r="H21" s="77"/>
      <c r="I21" s="79" t="e">
        <f>AVERAGE(E21:H21)</f>
        <v>#DIV/0!</v>
      </c>
      <c r="J21" s="24" t="s">
        <v>170</v>
      </c>
      <c r="K21" s="24"/>
      <c r="L21" s="24"/>
      <c r="M21" s="24"/>
      <c r="N21" s="12" t="e">
        <f>AVERAGE(J21:M21)</f>
        <v>#DIV/0!</v>
      </c>
      <c r="O21" s="71" t="e">
        <f t="shared" ref="O21:O84" si="0">N21-I21</f>
        <v>#DIV/0!</v>
      </c>
      <c r="P21" s="24"/>
    </row>
    <row r="22" spans="1:16" s="25" customFormat="1" ht="14" customHeight="1" x14ac:dyDescent="0.35">
      <c r="A22" s="21"/>
      <c r="B22" s="22"/>
      <c r="C22" s="23"/>
      <c r="D22" s="24"/>
      <c r="E22" s="12"/>
      <c r="F22" s="12"/>
      <c r="G22" s="12"/>
      <c r="H22" s="31"/>
      <c r="I22" s="52"/>
      <c r="J22" s="24"/>
      <c r="K22" s="24"/>
      <c r="L22" s="24"/>
      <c r="M22" s="24"/>
      <c r="N22" s="24"/>
      <c r="O22" s="71"/>
      <c r="P22" s="24"/>
    </row>
    <row r="23" spans="1:16" x14ac:dyDescent="0.3">
      <c r="A23" s="288" t="s">
        <v>39</v>
      </c>
      <c r="B23" s="289"/>
      <c r="C23" s="290"/>
      <c r="D23" s="11"/>
      <c r="E23" s="82"/>
      <c r="F23" s="82"/>
      <c r="G23" s="82"/>
      <c r="H23" s="83"/>
      <c r="I23" s="93"/>
      <c r="J23" s="87"/>
      <c r="K23" s="87"/>
      <c r="L23" s="87"/>
      <c r="M23" s="87"/>
      <c r="N23" s="87"/>
      <c r="O23" s="103"/>
      <c r="P23" s="87"/>
    </row>
    <row r="24" spans="1:16" x14ac:dyDescent="0.3">
      <c r="A24" s="291" t="s">
        <v>55</v>
      </c>
      <c r="B24" s="292"/>
      <c r="C24" s="293"/>
      <c r="D24" s="11"/>
      <c r="E24" s="76"/>
      <c r="F24" s="76"/>
      <c r="G24" s="76"/>
      <c r="H24" s="80"/>
      <c r="I24" s="81">
        <f>SUM(E24:H24)</f>
        <v>0</v>
      </c>
      <c r="J24" s="16" t="s">
        <v>170</v>
      </c>
      <c r="K24" s="11"/>
      <c r="L24" s="11"/>
      <c r="M24" s="11"/>
      <c r="N24" s="12">
        <f>SUM(J24:M24)</f>
        <v>0</v>
      </c>
      <c r="O24" s="12">
        <f t="shared" si="0"/>
        <v>0</v>
      </c>
      <c r="P24" s="11"/>
    </row>
    <row r="25" spans="1:16" x14ac:dyDescent="0.3">
      <c r="A25" s="291" t="s">
        <v>53</v>
      </c>
      <c r="B25" s="292"/>
      <c r="C25" s="293"/>
      <c r="D25" s="11"/>
      <c r="E25" s="12"/>
      <c r="F25" s="12"/>
      <c r="G25" s="12"/>
      <c r="H25" s="26"/>
      <c r="I25" s="55">
        <f>SUM(E25:H25)</f>
        <v>0</v>
      </c>
      <c r="J25" s="16">
        <v>1</v>
      </c>
      <c r="K25" s="11"/>
      <c r="L25" s="11"/>
      <c r="M25" s="11"/>
      <c r="N25" s="12">
        <f t="shared" ref="N25:N26" si="1">SUM(J25:M25)</f>
        <v>1</v>
      </c>
      <c r="O25" s="12">
        <f t="shared" si="0"/>
        <v>1</v>
      </c>
      <c r="P25" s="11"/>
    </row>
    <row r="26" spans="1:16" x14ac:dyDescent="0.3">
      <c r="A26" s="17"/>
      <c r="B26" s="18"/>
      <c r="C26" s="35" t="s">
        <v>45</v>
      </c>
      <c r="D26" s="11"/>
      <c r="E26" s="12"/>
      <c r="F26" s="12"/>
      <c r="G26" s="12"/>
      <c r="H26" s="26"/>
      <c r="I26" s="55">
        <f>SUM(E26:H26)</f>
        <v>0</v>
      </c>
      <c r="J26" s="16">
        <v>4</v>
      </c>
      <c r="K26" s="11"/>
      <c r="L26" s="11"/>
      <c r="M26" s="11"/>
      <c r="N26" s="12">
        <f t="shared" si="1"/>
        <v>4</v>
      </c>
      <c r="O26" s="12">
        <f t="shared" si="0"/>
        <v>4</v>
      </c>
      <c r="P26" s="11"/>
    </row>
    <row r="27" spans="1:16" x14ac:dyDescent="0.3">
      <c r="A27" s="291" t="s">
        <v>54</v>
      </c>
      <c r="B27" s="292"/>
      <c r="C27" s="293"/>
      <c r="D27" s="11"/>
      <c r="E27" s="76"/>
      <c r="F27" s="76"/>
      <c r="G27" s="76"/>
      <c r="H27" s="80"/>
      <c r="I27" s="81">
        <f>SUM(E27:H27)</f>
        <v>0</v>
      </c>
      <c r="J27" s="16" t="s">
        <v>170</v>
      </c>
      <c r="K27" s="11"/>
      <c r="L27" s="11"/>
      <c r="M27" s="11"/>
      <c r="N27" s="12">
        <f>SUM(J27:M27)</f>
        <v>0</v>
      </c>
      <c r="O27" s="12">
        <f t="shared" si="0"/>
        <v>0</v>
      </c>
      <c r="P27" s="11"/>
    </row>
    <row r="28" spans="1:16" x14ac:dyDescent="0.3">
      <c r="A28" s="214"/>
      <c r="B28" s="215"/>
      <c r="C28" s="216"/>
      <c r="D28" s="11"/>
      <c r="E28" s="12"/>
      <c r="F28" s="12"/>
      <c r="G28" s="12"/>
      <c r="H28" s="26"/>
      <c r="I28" s="13"/>
      <c r="J28" s="11"/>
      <c r="K28" s="11"/>
      <c r="L28" s="11"/>
      <c r="M28" s="11"/>
      <c r="N28" s="11"/>
      <c r="O28" s="104"/>
      <c r="P28" s="11"/>
    </row>
    <row r="29" spans="1:16" x14ac:dyDescent="0.3">
      <c r="A29" s="208" t="s">
        <v>47</v>
      </c>
      <c r="B29" s="209"/>
      <c r="C29" s="210"/>
      <c r="D29" s="20">
        <v>310200000000000</v>
      </c>
      <c r="E29" s="34"/>
      <c r="F29" s="34"/>
      <c r="G29" s="34"/>
      <c r="H29" s="29"/>
      <c r="I29" s="51"/>
      <c r="J29" s="9"/>
      <c r="K29" s="9"/>
      <c r="L29" s="9"/>
      <c r="M29" s="9"/>
      <c r="N29" s="9"/>
      <c r="O29" s="71"/>
      <c r="P29" s="9"/>
    </row>
    <row r="30" spans="1:16" x14ac:dyDescent="0.3">
      <c r="A30" s="224" t="s">
        <v>48</v>
      </c>
      <c r="B30" s="225"/>
      <c r="C30" s="226"/>
      <c r="D30" s="11"/>
      <c r="E30" s="82"/>
      <c r="F30" s="82"/>
      <c r="G30" s="82"/>
      <c r="H30" s="83"/>
      <c r="I30" s="93"/>
      <c r="J30" s="87"/>
      <c r="K30" s="87"/>
      <c r="L30" s="87"/>
      <c r="M30" s="87"/>
      <c r="N30" s="87"/>
      <c r="O30" s="103"/>
      <c r="P30" s="87"/>
    </row>
    <row r="31" spans="1:16" s="10" customFormat="1" ht="31.75" customHeight="1" x14ac:dyDescent="0.3">
      <c r="A31" s="252" t="s">
        <v>49</v>
      </c>
      <c r="B31" s="253"/>
      <c r="C31" s="254"/>
      <c r="D31" s="16"/>
      <c r="E31" s="82"/>
      <c r="F31" s="82"/>
      <c r="G31" s="82"/>
      <c r="H31" s="83"/>
      <c r="I31" s="86"/>
      <c r="J31" s="86"/>
      <c r="K31" s="86"/>
      <c r="L31" s="86"/>
      <c r="M31" s="86"/>
      <c r="N31" s="86"/>
      <c r="O31" s="103"/>
      <c r="P31" s="86"/>
    </row>
    <row r="32" spans="1:16" ht="15.5" customHeight="1" x14ac:dyDescent="0.3">
      <c r="A32" s="211" t="s">
        <v>25</v>
      </c>
      <c r="B32" s="212"/>
      <c r="C32" s="213"/>
      <c r="D32" s="11"/>
      <c r="E32" s="82"/>
      <c r="F32" s="36"/>
      <c r="G32" s="82"/>
      <c r="H32" s="83"/>
      <c r="I32" s="92">
        <f>F32</f>
        <v>0</v>
      </c>
      <c r="J32" s="82"/>
      <c r="K32" s="36"/>
      <c r="L32" s="82"/>
      <c r="M32" s="83"/>
      <c r="N32" s="92">
        <f>K32</f>
        <v>0</v>
      </c>
      <c r="O32" s="71">
        <f t="shared" si="0"/>
        <v>0</v>
      </c>
      <c r="P32" s="11"/>
    </row>
    <row r="33" spans="1:16" ht="15.5" customHeight="1" x14ac:dyDescent="0.3">
      <c r="A33" s="14"/>
      <c r="B33" s="3"/>
      <c r="C33" s="15" t="s">
        <v>108</v>
      </c>
      <c r="D33" s="11"/>
      <c r="E33" s="82"/>
      <c r="F33" s="12"/>
      <c r="G33" s="82"/>
      <c r="H33" s="83"/>
      <c r="I33" s="13">
        <f t="shared" ref="I33:I39" si="2">F33</f>
        <v>0</v>
      </c>
      <c r="J33" s="82"/>
      <c r="K33" s="12"/>
      <c r="L33" s="82"/>
      <c r="M33" s="83"/>
      <c r="N33" s="13">
        <f t="shared" ref="N33:N39" si="3">K33</f>
        <v>0</v>
      </c>
      <c r="O33" s="12">
        <f t="shared" si="0"/>
        <v>0</v>
      </c>
      <c r="P33" s="11"/>
    </row>
    <row r="34" spans="1:16" ht="15.5" customHeight="1" x14ac:dyDescent="0.3">
      <c r="A34" s="14"/>
      <c r="B34" s="3"/>
      <c r="C34" s="70" t="s">
        <v>107</v>
      </c>
      <c r="D34" s="11"/>
      <c r="E34" s="82"/>
      <c r="F34" s="36"/>
      <c r="G34" s="82"/>
      <c r="H34" s="83"/>
      <c r="I34" s="92">
        <f t="shared" si="2"/>
        <v>0</v>
      </c>
      <c r="J34" s="82"/>
      <c r="K34" s="36"/>
      <c r="L34" s="82"/>
      <c r="M34" s="83"/>
      <c r="N34" s="92">
        <f t="shared" si="3"/>
        <v>0</v>
      </c>
      <c r="O34" s="71">
        <f t="shared" si="0"/>
        <v>0</v>
      </c>
      <c r="P34" s="11"/>
    </row>
    <row r="35" spans="1:16" ht="15.5" customHeight="1" x14ac:dyDescent="0.3">
      <c r="A35" s="14"/>
      <c r="B35" s="3"/>
      <c r="C35" s="15" t="s">
        <v>108</v>
      </c>
      <c r="D35" s="11"/>
      <c r="E35" s="82"/>
      <c r="F35" s="12"/>
      <c r="G35" s="82"/>
      <c r="H35" s="83"/>
      <c r="I35" s="13">
        <f t="shared" si="2"/>
        <v>0</v>
      </c>
      <c r="J35" s="82"/>
      <c r="K35" s="36"/>
      <c r="L35" s="82"/>
      <c r="M35" s="83"/>
      <c r="N35" s="13">
        <f t="shared" si="3"/>
        <v>0</v>
      </c>
      <c r="O35" s="12">
        <f t="shared" si="0"/>
        <v>0</v>
      </c>
      <c r="P35" s="11"/>
    </row>
    <row r="36" spans="1:16" ht="15.5" customHeight="1" x14ac:dyDescent="0.3">
      <c r="A36" s="211" t="s">
        <v>26</v>
      </c>
      <c r="B36" s="212"/>
      <c r="C36" s="213"/>
      <c r="D36" s="11"/>
      <c r="E36" s="82"/>
      <c r="F36" s="36"/>
      <c r="G36" s="82"/>
      <c r="H36" s="83"/>
      <c r="I36" s="92">
        <f t="shared" si="2"/>
        <v>0</v>
      </c>
      <c r="J36" s="82"/>
      <c r="K36" s="36"/>
      <c r="L36" s="82"/>
      <c r="M36" s="83"/>
      <c r="N36" s="92">
        <f t="shared" si="3"/>
        <v>0</v>
      </c>
      <c r="O36" s="71">
        <f t="shared" si="0"/>
        <v>0</v>
      </c>
      <c r="P36" s="11"/>
    </row>
    <row r="37" spans="1:16" ht="15.5" customHeight="1" x14ac:dyDescent="0.3">
      <c r="A37" s="14"/>
      <c r="B37" s="3"/>
      <c r="C37" s="15" t="s">
        <v>108</v>
      </c>
      <c r="D37" s="11"/>
      <c r="E37" s="82"/>
      <c r="F37" s="12"/>
      <c r="G37" s="82"/>
      <c r="H37" s="83"/>
      <c r="I37" s="13">
        <f t="shared" si="2"/>
        <v>0</v>
      </c>
      <c r="J37" s="82"/>
      <c r="K37" s="12"/>
      <c r="L37" s="82"/>
      <c r="M37" s="83"/>
      <c r="N37" s="13">
        <f t="shared" si="3"/>
        <v>0</v>
      </c>
      <c r="O37" s="12">
        <f t="shared" si="0"/>
        <v>0</v>
      </c>
      <c r="P37" s="11"/>
    </row>
    <row r="38" spans="1:16" ht="15.5" customHeight="1" x14ac:dyDescent="0.3">
      <c r="A38" s="211" t="s">
        <v>27</v>
      </c>
      <c r="B38" s="212"/>
      <c r="C38" s="213"/>
      <c r="D38" s="11"/>
      <c r="E38" s="82"/>
      <c r="F38" s="36"/>
      <c r="G38" s="82"/>
      <c r="H38" s="83"/>
      <c r="I38" s="92">
        <f t="shared" si="2"/>
        <v>0</v>
      </c>
      <c r="J38" s="82"/>
      <c r="K38" s="36"/>
      <c r="L38" s="82"/>
      <c r="M38" s="83"/>
      <c r="N38" s="92">
        <f t="shared" si="3"/>
        <v>0</v>
      </c>
      <c r="O38" s="71">
        <f t="shared" si="0"/>
        <v>0</v>
      </c>
      <c r="P38" s="11"/>
    </row>
    <row r="39" spans="1:16" ht="15.5" customHeight="1" x14ac:dyDescent="0.3">
      <c r="A39" s="14"/>
      <c r="B39" s="3"/>
      <c r="C39" s="15" t="s">
        <v>108</v>
      </c>
      <c r="D39" s="11"/>
      <c r="E39" s="82"/>
      <c r="F39" s="12"/>
      <c r="G39" s="82"/>
      <c r="H39" s="83"/>
      <c r="I39" s="13">
        <f t="shared" si="2"/>
        <v>0</v>
      </c>
      <c r="J39" s="82"/>
      <c r="K39" s="12"/>
      <c r="L39" s="82"/>
      <c r="M39" s="83"/>
      <c r="N39" s="13">
        <f t="shared" si="3"/>
        <v>0</v>
      </c>
      <c r="O39" s="12">
        <f t="shared" si="0"/>
        <v>0</v>
      </c>
      <c r="P39" s="11"/>
    </row>
    <row r="40" spans="1:16" ht="15.5" customHeight="1" x14ac:dyDescent="0.3">
      <c r="A40" s="14"/>
      <c r="B40" s="3"/>
      <c r="C40" s="15"/>
      <c r="D40" s="11"/>
      <c r="E40" s="12"/>
      <c r="F40" s="12"/>
      <c r="G40" s="12"/>
      <c r="H40" s="26"/>
      <c r="I40" s="13"/>
      <c r="J40" s="12"/>
      <c r="K40" s="12"/>
      <c r="L40" s="12"/>
      <c r="M40" s="26"/>
      <c r="N40" s="13"/>
      <c r="O40" s="71"/>
      <c r="P40" s="11"/>
    </row>
    <row r="41" spans="1:16" ht="25.25" customHeight="1" x14ac:dyDescent="0.3">
      <c r="A41" s="243" t="s">
        <v>46</v>
      </c>
      <c r="B41" s="244"/>
      <c r="C41" s="245"/>
      <c r="D41" s="16"/>
      <c r="E41" s="82"/>
      <c r="F41" s="82"/>
      <c r="G41" s="82"/>
      <c r="H41" s="83"/>
      <c r="I41" s="86"/>
      <c r="J41" s="82"/>
      <c r="K41" s="82"/>
      <c r="L41" s="82"/>
      <c r="M41" s="83"/>
      <c r="N41" s="86"/>
      <c r="O41" s="103"/>
      <c r="P41" s="86"/>
    </row>
    <row r="42" spans="1:16" ht="15.5" customHeight="1" x14ac:dyDescent="0.3">
      <c r="A42" s="304" t="s">
        <v>102</v>
      </c>
      <c r="B42" s="305"/>
      <c r="C42" s="306"/>
      <c r="D42" s="11"/>
      <c r="E42" s="82"/>
      <c r="F42" s="36"/>
      <c r="G42" s="82"/>
      <c r="H42" s="83"/>
      <c r="I42" s="92">
        <f>F42</f>
        <v>0</v>
      </c>
      <c r="J42" s="82"/>
      <c r="K42" s="94"/>
      <c r="L42" s="82"/>
      <c r="M42" s="83"/>
      <c r="N42" s="96">
        <f>K42</f>
        <v>0</v>
      </c>
      <c r="O42" s="71">
        <f t="shared" si="0"/>
        <v>0</v>
      </c>
      <c r="P42" s="11"/>
    </row>
    <row r="43" spans="1:16" ht="15.5" customHeight="1" x14ac:dyDescent="0.3">
      <c r="A43" s="46"/>
      <c r="B43" s="47"/>
      <c r="C43" s="15" t="s">
        <v>108</v>
      </c>
      <c r="D43" s="11"/>
      <c r="E43" s="82"/>
      <c r="F43" s="12"/>
      <c r="G43" s="82"/>
      <c r="H43" s="83"/>
      <c r="I43" s="13">
        <f t="shared" ref="I43:I53" si="4">F43</f>
        <v>0</v>
      </c>
      <c r="J43" s="82"/>
      <c r="K43" s="95"/>
      <c r="L43" s="82"/>
      <c r="M43" s="83"/>
      <c r="N43" s="13">
        <f t="shared" ref="N43:N53" si="5">K43</f>
        <v>0</v>
      </c>
      <c r="O43" s="12">
        <f t="shared" si="0"/>
        <v>0</v>
      </c>
      <c r="P43" s="11"/>
    </row>
    <row r="44" spans="1:16" ht="15.5" customHeight="1" x14ac:dyDescent="0.3">
      <c r="A44" s="304" t="s">
        <v>103</v>
      </c>
      <c r="B44" s="305"/>
      <c r="C44" s="306"/>
      <c r="D44" s="11"/>
      <c r="E44" s="82"/>
      <c r="F44" s="36"/>
      <c r="G44" s="82"/>
      <c r="H44" s="83"/>
      <c r="I44" s="92">
        <f t="shared" si="4"/>
        <v>0</v>
      </c>
      <c r="J44" s="82"/>
      <c r="K44" s="94"/>
      <c r="L44" s="82"/>
      <c r="M44" s="83"/>
      <c r="N44" s="96">
        <f t="shared" si="5"/>
        <v>0</v>
      </c>
      <c r="O44" s="71">
        <f t="shared" si="0"/>
        <v>0</v>
      </c>
      <c r="P44" s="11"/>
    </row>
    <row r="45" spans="1:16" ht="15.5" customHeight="1" x14ac:dyDescent="0.3">
      <c r="A45" s="46"/>
      <c r="B45" s="47"/>
      <c r="C45" s="15" t="s">
        <v>108</v>
      </c>
      <c r="D45" s="11"/>
      <c r="E45" s="82"/>
      <c r="F45" s="12"/>
      <c r="G45" s="82"/>
      <c r="H45" s="83"/>
      <c r="I45" s="13">
        <f t="shared" si="4"/>
        <v>0</v>
      </c>
      <c r="J45" s="82"/>
      <c r="K45" s="95"/>
      <c r="L45" s="82"/>
      <c r="M45" s="83"/>
      <c r="N45" s="13">
        <f t="shared" si="5"/>
        <v>0</v>
      </c>
      <c r="O45" s="12">
        <f t="shared" si="0"/>
        <v>0</v>
      </c>
      <c r="P45" s="11"/>
    </row>
    <row r="46" spans="1:16" ht="15.5" customHeight="1" x14ac:dyDescent="0.3">
      <c r="A46" s="304" t="s">
        <v>104</v>
      </c>
      <c r="B46" s="305"/>
      <c r="C46" s="306"/>
      <c r="D46" s="11"/>
      <c r="E46" s="82"/>
      <c r="F46" s="94"/>
      <c r="G46" s="82"/>
      <c r="H46" s="83"/>
      <c r="I46" s="92">
        <f t="shared" si="4"/>
        <v>0</v>
      </c>
      <c r="J46" s="82"/>
      <c r="K46" s="94"/>
      <c r="L46" s="82"/>
      <c r="M46" s="83"/>
      <c r="N46" s="96">
        <f t="shared" si="5"/>
        <v>0</v>
      </c>
      <c r="O46" s="71">
        <f t="shared" si="0"/>
        <v>0</v>
      </c>
      <c r="P46" s="11"/>
    </row>
    <row r="47" spans="1:16" ht="15.5" customHeight="1" x14ac:dyDescent="0.3">
      <c r="A47" s="46"/>
      <c r="B47" s="47"/>
      <c r="C47" s="15" t="s">
        <v>108</v>
      </c>
      <c r="D47" s="11"/>
      <c r="E47" s="82"/>
      <c r="F47" s="12"/>
      <c r="G47" s="82"/>
      <c r="H47" s="83"/>
      <c r="I47" s="13">
        <f t="shared" si="4"/>
        <v>0</v>
      </c>
      <c r="J47" s="82"/>
      <c r="K47" s="95"/>
      <c r="L47" s="82"/>
      <c r="M47" s="83"/>
      <c r="N47" s="13">
        <f t="shared" si="5"/>
        <v>0</v>
      </c>
      <c r="O47" s="12">
        <f t="shared" si="0"/>
        <v>0</v>
      </c>
      <c r="P47" s="11"/>
    </row>
    <row r="48" spans="1:16" ht="15.5" customHeight="1" x14ac:dyDescent="0.3">
      <c r="A48" s="304" t="s">
        <v>105</v>
      </c>
      <c r="B48" s="305"/>
      <c r="C48" s="306"/>
      <c r="D48" s="11"/>
      <c r="E48" s="82"/>
      <c r="F48" s="36"/>
      <c r="G48" s="82"/>
      <c r="H48" s="83"/>
      <c r="I48" s="92">
        <f t="shared" si="4"/>
        <v>0</v>
      </c>
      <c r="J48" s="82"/>
      <c r="K48" s="94"/>
      <c r="L48" s="82"/>
      <c r="M48" s="83"/>
      <c r="N48" s="96">
        <f t="shared" si="5"/>
        <v>0</v>
      </c>
      <c r="O48" s="71">
        <f t="shared" si="0"/>
        <v>0</v>
      </c>
      <c r="P48" s="11"/>
    </row>
    <row r="49" spans="1:16" ht="15.5" customHeight="1" x14ac:dyDescent="0.3">
      <c r="A49" s="46"/>
      <c r="B49" s="47"/>
      <c r="C49" s="15" t="s">
        <v>108</v>
      </c>
      <c r="D49" s="11"/>
      <c r="E49" s="82"/>
      <c r="F49" s="12"/>
      <c r="G49" s="82"/>
      <c r="H49" s="83"/>
      <c r="I49" s="13">
        <f t="shared" si="4"/>
        <v>0</v>
      </c>
      <c r="J49" s="82"/>
      <c r="K49" s="95"/>
      <c r="L49" s="82"/>
      <c r="M49" s="83"/>
      <c r="N49" s="13">
        <f t="shared" si="5"/>
        <v>0</v>
      </c>
      <c r="O49" s="12">
        <f t="shared" si="0"/>
        <v>0</v>
      </c>
      <c r="P49" s="11"/>
    </row>
    <row r="50" spans="1:16" ht="15.5" customHeight="1" x14ac:dyDescent="0.3">
      <c r="A50" s="304" t="s">
        <v>106</v>
      </c>
      <c r="B50" s="305"/>
      <c r="C50" s="306"/>
      <c r="D50" s="11"/>
      <c r="E50" s="82"/>
      <c r="F50" s="36"/>
      <c r="G50" s="82"/>
      <c r="H50" s="83"/>
      <c r="I50" s="92">
        <f t="shared" si="4"/>
        <v>0</v>
      </c>
      <c r="J50" s="82"/>
      <c r="K50" s="94"/>
      <c r="L50" s="82"/>
      <c r="M50" s="83"/>
      <c r="N50" s="96">
        <f t="shared" si="5"/>
        <v>0</v>
      </c>
      <c r="O50" s="71">
        <f t="shared" si="0"/>
        <v>0</v>
      </c>
      <c r="P50" s="11"/>
    </row>
    <row r="51" spans="1:16" ht="15.5" customHeight="1" x14ac:dyDescent="0.3">
      <c r="A51" s="46"/>
      <c r="B51" s="47"/>
      <c r="C51" s="15" t="s">
        <v>108</v>
      </c>
      <c r="D51" s="11"/>
      <c r="E51" s="82"/>
      <c r="F51" s="12"/>
      <c r="G51" s="82"/>
      <c r="H51" s="83"/>
      <c r="I51" s="13">
        <f t="shared" si="4"/>
        <v>0</v>
      </c>
      <c r="J51" s="82"/>
      <c r="K51" s="95"/>
      <c r="L51" s="82"/>
      <c r="M51" s="83"/>
      <c r="N51" s="13">
        <f t="shared" si="5"/>
        <v>0</v>
      </c>
      <c r="O51" s="12">
        <f t="shared" si="0"/>
        <v>0</v>
      </c>
      <c r="P51" s="11"/>
    </row>
    <row r="52" spans="1:16" ht="15.5" customHeight="1" x14ac:dyDescent="0.3">
      <c r="A52" s="304" t="s">
        <v>111</v>
      </c>
      <c r="B52" s="305"/>
      <c r="C52" s="306"/>
      <c r="D52" s="11"/>
      <c r="E52" s="82"/>
      <c r="F52" s="94"/>
      <c r="G52" s="82"/>
      <c r="H52" s="83"/>
      <c r="I52" s="92">
        <f t="shared" si="4"/>
        <v>0</v>
      </c>
      <c r="J52" s="82"/>
      <c r="K52" s="94"/>
      <c r="L52" s="82"/>
      <c r="M52" s="83"/>
      <c r="N52" s="96">
        <f t="shared" si="5"/>
        <v>0</v>
      </c>
      <c r="O52" s="71">
        <f t="shared" si="0"/>
        <v>0</v>
      </c>
      <c r="P52" s="11"/>
    </row>
    <row r="53" spans="1:16" ht="15.5" customHeight="1" x14ac:dyDescent="0.3">
      <c r="A53" s="37"/>
      <c r="B53" s="38"/>
      <c r="C53" s="15" t="s">
        <v>108</v>
      </c>
      <c r="D53" s="11"/>
      <c r="E53" s="82"/>
      <c r="F53" s="12"/>
      <c r="G53" s="82"/>
      <c r="H53" s="83"/>
      <c r="I53" s="13">
        <f t="shared" si="4"/>
        <v>0</v>
      </c>
      <c r="J53" s="82"/>
      <c r="K53" s="95"/>
      <c r="L53" s="82"/>
      <c r="M53" s="83"/>
      <c r="N53" s="13">
        <f t="shared" si="5"/>
        <v>0</v>
      </c>
      <c r="O53" s="12">
        <f t="shared" si="0"/>
        <v>0</v>
      </c>
      <c r="P53" s="11"/>
    </row>
    <row r="54" spans="1:16" ht="15.5" customHeight="1" x14ac:dyDescent="0.3">
      <c r="A54" s="37"/>
      <c r="B54" s="38"/>
      <c r="C54" s="39"/>
      <c r="D54" s="11"/>
      <c r="E54" s="12"/>
      <c r="F54" s="12"/>
      <c r="G54" s="12"/>
      <c r="H54" s="26"/>
      <c r="I54" s="13"/>
      <c r="J54" s="12"/>
      <c r="K54" s="12"/>
      <c r="L54" s="12"/>
      <c r="M54" s="26"/>
      <c r="N54" s="13"/>
      <c r="O54" s="71"/>
      <c r="P54" s="11"/>
    </row>
    <row r="55" spans="1:16" ht="25.75" customHeight="1" x14ac:dyDescent="0.3">
      <c r="A55" s="243" t="s">
        <v>52</v>
      </c>
      <c r="B55" s="244"/>
      <c r="C55" s="245"/>
      <c r="D55" s="16"/>
      <c r="E55" s="82"/>
      <c r="F55" s="82"/>
      <c r="G55" s="82"/>
      <c r="H55" s="83"/>
      <c r="I55" s="86"/>
      <c r="J55" s="82"/>
      <c r="K55" s="82"/>
      <c r="L55" s="82"/>
      <c r="M55" s="83"/>
      <c r="N55" s="86"/>
      <c r="O55" s="103"/>
      <c r="P55" s="86"/>
    </row>
    <row r="56" spans="1:16" ht="15.5" customHeight="1" x14ac:dyDescent="0.3">
      <c r="A56" s="246" t="s">
        <v>56</v>
      </c>
      <c r="B56" s="247"/>
      <c r="C56" s="248"/>
      <c r="D56" s="11"/>
      <c r="E56" s="82"/>
      <c r="F56" s="82"/>
      <c r="G56" s="82"/>
      <c r="H56" s="31"/>
      <c r="I56" s="92">
        <f>H56</f>
        <v>0</v>
      </c>
      <c r="J56" s="82"/>
      <c r="K56" s="82"/>
      <c r="L56" s="82"/>
      <c r="M56" s="31"/>
      <c r="N56" s="92">
        <f>M56</f>
        <v>0</v>
      </c>
      <c r="O56" s="71">
        <f t="shared" si="0"/>
        <v>0</v>
      </c>
      <c r="P56" s="11"/>
    </row>
    <row r="57" spans="1:16" ht="15.5" customHeight="1" x14ac:dyDescent="0.3">
      <c r="A57" s="40"/>
      <c r="B57" s="41"/>
      <c r="C57" s="15" t="s">
        <v>108</v>
      </c>
      <c r="D57" s="11"/>
      <c r="E57" s="82"/>
      <c r="F57" s="82"/>
      <c r="G57" s="82"/>
      <c r="H57" s="26"/>
      <c r="I57" s="13">
        <f t="shared" ref="I57:I61" si="6">H57</f>
        <v>0</v>
      </c>
      <c r="J57" s="82"/>
      <c r="K57" s="82"/>
      <c r="L57" s="82"/>
      <c r="M57" s="26"/>
      <c r="N57" s="13">
        <f t="shared" ref="N57:N61" si="7">M57</f>
        <v>0</v>
      </c>
      <c r="O57" s="12">
        <f t="shared" si="0"/>
        <v>0</v>
      </c>
      <c r="P57" s="11"/>
    </row>
    <row r="58" spans="1:16" ht="15.5" customHeight="1" x14ac:dyDescent="0.3">
      <c r="A58" s="246" t="s">
        <v>57</v>
      </c>
      <c r="B58" s="247"/>
      <c r="C58" s="248"/>
      <c r="D58" s="11"/>
      <c r="E58" s="82"/>
      <c r="F58" s="82"/>
      <c r="G58" s="82"/>
      <c r="H58" s="31"/>
      <c r="I58" s="92">
        <f t="shared" si="6"/>
        <v>0</v>
      </c>
      <c r="J58" s="82"/>
      <c r="K58" s="82"/>
      <c r="L58" s="82"/>
      <c r="M58" s="31"/>
      <c r="N58" s="92">
        <f t="shared" si="7"/>
        <v>0</v>
      </c>
      <c r="O58" s="71">
        <f t="shared" si="0"/>
        <v>0</v>
      </c>
      <c r="P58" s="11"/>
    </row>
    <row r="59" spans="1:16" ht="15.5" customHeight="1" x14ac:dyDescent="0.3">
      <c r="A59" s="40"/>
      <c r="B59" s="41"/>
      <c r="C59" s="15" t="s">
        <v>108</v>
      </c>
      <c r="D59" s="11"/>
      <c r="E59" s="82"/>
      <c r="F59" s="82"/>
      <c r="G59" s="82"/>
      <c r="H59" s="26"/>
      <c r="I59" s="13">
        <f t="shared" si="6"/>
        <v>0</v>
      </c>
      <c r="J59" s="82"/>
      <c r="K59" s="82"/>
      <c r="L59" s="82"/>
      <c r="M59" s="26"/>
      <c r="N59" s="13">
        <f t="shared" si="7"/>
        <v>0</v>
      </c>
      <c r="O59" s="12">
        <f t="shared" si="0"/>
        <v>0</v>
      </c>
      <c r="P59" s="11"/>
    </row>
    <row r="60" spans="1:16" ht="15.5" customHeight="1" x14ac:dyDescent="0.3">
      <c r="A60" s="246" t="s">
        <v>58</v>
      </c>
      <c r="B60" s="247"/>
      <c r="C60" s="248"/>
      <c r="D60" s="11"/>
      <c r="E60" s="82"/>
      <c r="F60" s="82"/>
      <c r="G60" s="82"/>
      <c r="H60" s="31"/>
      <c r="I60" s="92">
        <f t="shared" si="6"/>
        <v>0</v>
      </c>
      <c r="J60" s="82"/>
      <c r="K60" s="82"/>
      <c r="L60" s="82"/>
      <c r="M60" s="31"/>
      <c r="N60" s="92">
        <f t="shared" si="7"/>
        <v>0</v>
      </c>
      <c r="O60" s="71">
        <f t="shared" si="0"/>
        <v>0</v>
      </c>
      <c r="P60" s="11"/>
    </row>
    <row r="61" spans="1:16" ht="15.5" customHeight="1" x14ac:dyDescent="0.3">
      <c r="A61" s="40"/>
      <c r="B61" s="41"/>
      <c r="C61" s="15" t="s">
        <v>108</v>
      </c>
      <c r="D61" s="11"/>
      <c r="E61" s="82"/>
      <c r="F61" s="82"/>
      <c r="G61" s="82"/>
      <c r="H61" s="26"/>
      <c r="I61" s="13">
        <f t="shared" si="6"/>
        <v>0</v>
      </c>
      <c r="J61" s="82"/>
      <c r="K61" s="82"/>
      <c r="L61" s="82"/>
      <c r="M61" s="26"/>
      <c r="N61" s="13">
        <f t="shared" si="7"/>
        <v>0</v>
      </c>
      <c r="O61" s="12">
        <f t="shared" si="0"/>
        <v>0</v>
      </c>
      <c r="P61" s="11"/>
    </row>
    <row r="62" spans="1:16" ht="15.5" customHeight="1" x14ac:dyDescent="0.3">
      <c r="A62" s="214"/>
      <c r="B62" s="215"/>
      <c r="C62" s="216"/>
      <c r="D62" s="11"/>
      <c r="E62" s="12"/>
      <c r="F62" s="12"/>
      <c r="G62" s="12"/>
      <c r="H62" s="26"/>
      <c r="I62" s="13"/>
      <c r="J62" s="12"/>
      <c r="K62" s="12"/>
      <c r="L62" s="12"/>
      <c r="M62" s="26"/>
      <c r="N62" s="13"/>
      <c r="O62" s="71"/>
      <c r="P62" s="11"/>
    </row>
    <row r="63" spans="1:16" x14ac:dyDescent="0.3">
      <c r="A63" s="224" t="s">
        <v>59</v>
      </c>
      <c r="B63" s="225"/>
      <c r="C63" s="226"/>
      <c r="D63" s="11"/>
      <c r="E63" s="82"/>
      <c r="F63" s="82"/>
      <c r="G63" s="82"/>
      <c r="H63" s="83"/>
      <c r="I63" s="93"/>
      <c r="J63" s="82"/>
      <c r="K63" s="82"/>
      <c r="L63" s="82"/>
      <c r="M63" s="83"/>
      <c r="N63" s="93"/>
      <c r="O63" s="103"/>
      <c r="P63" s="87"/>
    </row>
    <row r="64" spans="1:16" x14ac:dyDescent="0.3">
      <c r="A64" s="295" t="s">
        <v>67</v>
      </c>
      <c r="B64" s="296"/>
      <c r="C64" s="297"/>
      <c r="D64" s="11"/>
      <c r="E64" s="82"/>
      <c r="F64" s="82"/>
      <c r="G64" s="82"/>
      <c r="H64" s="83"/>
      <c r="I64" s="93"/>
      <c r="J64" s="82"/>
      <c r="K64" s="82"/>
      <c r="L64" s="82"/>
      <c r="M64" s="83"/>
      <c r="N64" s="93"/>
      <c r="O64" s="103"/>
      <c r="P64" s="87"/>
    </row>
    <row r="65" spans="1:16" ht="15.5" customHeight="1" x14ac:dyDescent="0.3">
      <c r="A65" s="308" t="s">
        <v>68</v>
      </c>
      <c r="B65" s="309"/>
      <c r="C65" s="310"/>
      <c r="D65" s="11"/>
      <c r="E65" s="82"/>
      <c r="F65" s="82"/>
      <c r="G65" s="12"/>
      <c r="H65" s="26"/>
      <c r="I65" s="13">
        <f>SUM(G65:H65)</f>
        <v>0</v>
      </c>
      <c r="J65" s="12" t="s">
        <v>170</v>
      </c>
      <c r="K65" s="12"/>
      <c r="L65" s="12"/>
      <c r="M65" s="26"/>
      <c r="N65" s="13">
        <f>SUM(L65:M65)</f>
        <v>0</v>
      </c>
      <c r="O65" s="12">
        <f t="shared" si="0"/>
        <v>0</v>
      </c>
      <c r="P65" s="11" t="s">
        <v>211</v>
      </c>
    </row>
    <row r="66" spans="1:16" ht="15.5" customHeight="1" x14ac:dyDescent="0.3">
      <c r="A66" s="308" t="s">
        <v>69</v>
      </c>
      <c r="B66" s="309"/>
      <c r="C66" s="310"/>
      <c r="D66" s="11"/>
      <c r="E66" s="85"/>
      <c r="F66" s="85"/>
      <c r="G66" s="56"/>
      <c r="H66" s="60"/>
      <c r="I66" s="13">
        <f>SUM(G66:H66)</f>
        <v>0</v>
      </c>
      <c r="J66" s="181" t="s">
        <v>170</v>
      </c>
      <c r="K66" s="56"/>
      <c r="L66" s="56"/>
      <c r="M66" s="60"/>
      <c r="N66" s="13">
        <f>SUM(L66:M66)</f>
        <v>0</v>
      </c>
      <c r="O66" s="12">
        <f t="shared" si="0"/>
        <v>0</v>
      </c>
      <c r="P66" s="11"/>
    </row>
    <row r="67" spans="1:16" ht="27.65" customHeight="1" x14ac:dyDescent="0.3">
      <c r="A67" s="311" t="s">
        <v>66</v>
      </c>
      <c r="B67" s="312"/>
      <c r="C67" s="313"/>
      <c r="D67" s="16"/>
      <c r="E67" s="12"/>
      <c r="F67" s="61"/>
      <c r="G67" s="61"/>
      <c r="H67" s="63"/>
      <c r="I67" s="61">
        <f>SUM(E67:H67)</f>
        <v>0</v>
      </c>
      <c r="J67" s="12">
        <v>2145</v>
      </c>
      <c r="K67" s="61"/>
      <c r="L67" s="61"/>
      <c r="M67" s="63"/>
      <c r="N67" s="61">
        <f>SUM(J67:M67)</f>
        <v>2145</v>
      </c>
      <c r="O67" s="12">
        <f t="shared" si="0"/>
        <v>2145</v>
      </c>
      <c r="P67" s="16"/>
    </row>
    <row r="68" spans="1:16" ht="15.5" customHeight="1" x14ac:dyDescent="0.3">
      <c r="A68" s="43"/>
      <c r="B68" s="44"/>
      <c r="C68" s="45"/>
      <c r="D68" s="16"/>
      <c r="E68" s="12"/>
      <c r="F68" s="12"/>
      <c r="G68" s="12"/>
      <c r="H68" s="26"/>
      <c r="I68" s="13"/>
      <c r="J68" s="12"/>
      <c r="K68" s="12"/>
      <c r="L68" s="12"/>
      <c r="M68" s="26"/>
      <c r="N68" s="13"/>
      <c r="O68" s="71"/>
      <c r="P68" s="16"/>
    </row>
    <row r="69" spans="1:16" x14ac:dyDescent="0.3">
      <c r="A69" s="295" t="s">
        <v>70</v>
      </c>
      <c r="B69" s="296"/>
      <c r="C69" s="297"/>
      <c r="D69" s="11"/>
      <c r="E69" s="82"/>
      <c r="F69" s="82"/>
      <c r="G69" s="82"/>
      <c r="H69" s="83"/>
      <c r="I69" s="93"/>
      <c r="J69" s="82"/>
      <c r="K69" s="82"/>
      <c r="L69" s="82"/>
      <c r="M69" s="83"/>
      <c r="N69" s="93"/>
      <c r="O69" s="103"/>
      <c r="P69" s="87"/>
    </row>
    <row r="70" spans="1:16" ht="15.5" customHeight="1" x14ac:dyDescent="0.3">
      <c r="A70" s="308" t="s">
        <v>74</v>
      </c>
      <c r="B70" s="309"/>
      <c r="C70" s="310"/>
      <c r="D70" s="11"/>
      <c r="E70" s="61"/>
      <c r="F70" s="61"/>
      <c r="G70" s="61"/>
      <c r="H70" s="61"/>
      <c r="I70" s="62">
        <f>SUM(E70:H70)</f>
        <v>0</v>
      </c>
      <c r="J70" s="61" t="s">
        <v>170</v>
      </c>
      <c r="K70" s="61"/>
      <c r="L70" s="61"/>
      <c r="M70" s="61"/>
      <c r="N70" s="62">
        <f>SUM(J70:M70)</f>
        <v>0</v>
      </c>
      <c r="O70" s="12">
        <f t="shared" si="0"/>
        <v>0</v>
      </c>
      <c r="P70" s="11"/>
    </row>
    <row r="71" spans="1:16" ht="15.5" customHeight="1" x14ac:dyDescent="0.3">
      <c r="A71" s="308" t="s">
        <v>71</v>
      </c>
      <c r="B71" s="309"/>
      <c r="C71" s="310"/>
      <c r="D71" s="11"/>
      <c r="E71" s="61"/>
      <c r="F71" s="61"/>
      <c r="G71" s="61"/>
      <c r="H71" s="63"/>
      <c r="I71" s="62">
        <f t="shared" ref="I71:I72" si="8">SUM(E71:H71)</f>
        <v>0</v>
      </c>
      <c r="J71" s="61" t="s">
        <v>170</v>
      </c>
      <c r="K71" s="61"/>
      <c r="L71" s="61"/>
      <c r="M71" s="63"/>
      <c r="N71" s="62">
        <f t="shared" ref="N71:N72" si="9">SUM(J71:M71)</f>
        <v>0</v>
      </c>
      <c r="O71" s="12">
        <f t="shared" si="0"/>
        <v>0</v>
      </c>
      <c r="P71" s="11"/>
    </row>
    <row r="72" spans="1:16" ht="15.5" customHeight="1" x14ac:dyDescent="0.3">
      <c r="A72" s="308" t="s">
        <v>72</v>
      </c>
      <c r="B72" s="309"/>
      <c r="C72" s="310"/>
      <c r="D72" s="11"/>
      <c r="E72" s="12"/>
      <c r="F72" s="12"/>
      <c r="G72" s="12"/>
      <c r="H72" s="26"/>
      <c r="I72" s="62">
        <f t="shared" si="8"/>
        <v>0</v>
      </c>
      <c r="J72" s="12" t="s">
        <v>170</v>
      </c>
      <c r="K72" s="12"/>
      <c r="L72" s="12"/>
      <c r="M72" s="26"/>
      <c r="N72" s="62">
        <f t="shared" si="9"/>
        <v>0</v>
      </c>
      <c r="O72" s="12">
        <f t="shared" si="0"/>
        <v>0</v>
      </c>
      <c r="P72" s="11"/>
    </row>
    <row r="73" spans="1:16" ht="15.5" customHeight="1" x14ac:dyDescent="0.3">
      <c r="A73" s="214"/>
      <c r="B73" s="215"/>
      <c r="C73" s="216"/>
      <c r="D73" s="11"/>
      <c r="E73" s="12"/>
      <c r="F73" s="12"/>
      <c r="G73" s="12"/>
      <c r="H73" s="26"/>
      <c r="I73" s="62"/>
      <c r="J73" s="12"/>
      <c r="K73" s="12"/>
      <c r="L73" s="12"/>
      <c r="M73" s="26"/>
      <c r="N73" s="62"/>
      <c r="O73" s="12"/>
      <c r="P73" s="11"/>
    </row>
    <row r="74" spans="1:16" x14ac:dyDescent="0.3">
      <c r="A74" s="295" t="s">
        <v>73</v>
      </c>
      <c r="B74" s="296"/>
      <c r="C74" s="297"/>
      <c r="D74" s="11"/>
      <c r="E74" s="12"/>
      <c r="F74" s="12"/>
      <c r="G74" s="12"/>
      <c r="H74" s="26"/>
      <c r="I74" s="62">
        <f>SUM(E74:H74)</f>
        <v>0</v>
      </c>
      <c r="J74" s="12" t="s">
        <v>170</v>
      </c>
      <c r="K74" s="12"/>
      <c r="L74" s="12"/>
      <c r="M74" s="26"/>
      <c r="N74" s="62">
        <f>SUM(J74:M74)</f>
        <v>0</v>
      </c>
      <c r="O74" s="12">
        <f t="shared" si="0"/>
        <v>0</v>
      </c>
      <c r="P74" s="11"/>
    </row>
    <row r="75" spans="1:16" ht="15.5" customHeight="1" x14ac:dyDescent="0.3">
      <c r="A75" s="214"/>
      <c r="B75" s="215"/>
      <c r="C75" s="216"/>
      <c r="D75" s="11"/>
      <c r="E75" s="12"/>
      <c r="F75" s="12"/>
      <c r="G75" s="12"/>
      <c r="H75" s="26"/>
      <c r="I75" s="13"/>
      <c r="J75" s="12"/>
      <c r="K75" s="12"/>
      <c r="L75" s="12"/>
      <c r="M75" s="26"/>
      <c r="N75" s="13"/>
      <c r="O75" s="104"/>
      <c r="P75" s="11"/>
    </row>
    <row r="76" spans="1:16" x14ac:dyDescent="0.3">
      <c r="A76" s="208" t="s">
        <v>42</v>
      </c>
      <c r="B76" s="209"/>
      <c r="C76" s="210"/>
      <c r="D76" s="19">
        <v>310300000000000</v>
      </c>
      <c r="E76" s="34"/>
      <c r="F76" s="34"/>
      <c r="G76" s="34"/>
      <c r="H76" s="29"/>
      <c r="I76" s="51"/>
      <c r="J76" s="34"/>
      <c r="K76" s="34"/>
      <c r="L76" s="34"/>
      <c r="M76" s="29"/>
      <c r="N76" s="51"/>
      <c r="O76" s="71"/>
      <c r="P76" s="9"/>
    </row>
    <row r="77" spans="1:16" x14ac:dyDescent="0.3">
      <c r="A77" s="211" t="s">
        <v>23</v>
      </c>
      <c r="B77" s="212"/>
      <c r="C77" s="213"/>
      <c r="D77" s="11"/>
      <c r="E77" s="82"/>
      <c r="F77" s="82"/>
      <c r="G77" s="82"/>
      <c r="H77" s="83"/>
      <c r="I77" s="93"/>
      <c r="J77" s="82"/>
      <c r="K77" s="82"/>
      <c r="L77" s="82"/>
      <c r="M77" s="83"/>
      <c r="N77" s="93"/>
      <c r="O77" s="103"/>
      <c r="P77" s="87"/>
    </row>
    <row r="78" spans="1:16" ht="12.65" customHeight="1" x14ac:dyDescent="0.3">
      <c r="A78" s="243" t="s">
        <v>77</v>
      </c>
      <c r="B78" s="244"/>
      <c r="C78" s="245"/>
      <c r="D78" s="16"/>
      <c r="E78" s="82"/>
      <c r="F78" s="82"/>
      <c r="G78" s="82"/>
      <c r="H78" s="83"/>
      <c r="I78" s="86"/>
      <c r="J78" s="82"/>
      <c r="K78" s="82"/>
      <c r="L78" s="82"/>
      <c r="M78" s="83"/>
      <c r="N78" s="86"/>
      <c r="O78" s="103"/>
      <c r="P78" s="86"/>
    </row>
    <row r="79" spans="1:16" ht="15" customHeight="1" x14ac:dyDescent="0.3">
      <c r="A79" s="246" t="s">
        <v>78</v>
      </c>
      <c r="B79" s="247"/>
      <c r="C79" s="248"/>
      <c r="D79" s="11"/>
      <c r="E79" s="82"/>
      <c r="F79" s="82"/>
      <c r="G79" s="82"/>
      <c r="H79" s="65"/>
      <c r="I79" s="66">
        <f>H79</f>
        <v>0</v>
      </c>
      <c r="J79" s="82"/>
      <c r="K79" s="82"/>
      <c r="L79" s="82"/>
      <c r="M79" s="65"/>
      <c r="N79" s="66">
        <f>M79</f>
        <v>0</v>
      </c>
      <c r="O79" s="71">
        <f t="shared" si="0"/>
        <v>0</v>
      </c>
      <c r="P79" s="11"/>
    </row>
    <row r="80" spans="1:16" ht="15" customHeight="1" x14ac:dyDescent="0.3">
      <c r="A80" s="40"/>
      <c r="B80" s="41"/>
      <c r="C80" s="15" t="s">
        <v>108</v>
      </c>
      <c r="D80" s="11"/>
      <c r="E80" s="82"/>
      <c r="F80" s="82"/>
      <c r="G80" s="82"/>
      <c r="H80" s="63"/>
      <c r="I80" s="99">
        <f t="shared" ref="I80:I86" si="10">H80</f>
        <v>0</v>
      </c>
      <c r="J80" s="82"/>
      <c r="K80" s="82"/>
      <c r="L80" s="82"/>
      <c r="M80" s="63"/>
      <c r="N80" s="99">
        <f t="shared" ref="N80:N86" si="11">M80</f>
        <v>0</v>
      </c>
      <c r="O80" s="12">
        <f t="shared" si="0"/>
        <v>0</v>
      </c>
      <c r="P80" s="11"/>
    </row>
    <row r="81" spans="1:16" ht="30" customHeight="1" x14ac:dyDescent="0.3">
      <c r="A81" s="258" t="s">
        <v>76</v>
      </c>
      <c r="B81" s="259"/>
      <c r="C81" s="260"/>
      <c r="D81" s="11"/>
      <c r="E81" s="82"/>
      <c r="F81" s="82"/>
      <c r="G81" s="82"/>
      <c r="H81" s="65"/>
      <c r="I81" s="66">
        <f t="shared" si="10"/>
        <v>0</v>
      </c>
      <c r="J81" s="82"/>
      <c r="K81" s="82"/>
      <c r="L81" s="82"/>
      <c r="M81" s="65"/>
      <c r="N81" s="66">
        <f t="shared" si="11"/>
        <v>0</v>
      </c>
      <c r="O81" s="71">
        <f t="shared" si="0"/>
        <v>0</v>
      </c>
      <c r="P81" s="11"/>
    </row>
    <row r="82" spans="1:16" ht="15.5" customHeight="1" x14ac:dyDescent="0.3">
      <c r="A82" s="40"/>
      <c r="B82" s="41"/>
      <c r="C82" s="15" t="s">
        <v>108</v>
      </c>
      <c r="D82" s="11"/>
      <c r="E82" s="82"/>
      <c r="F82" s="82"/>
      <c r="G82" s="82"/>
      <c r="H82" s="63"/>
      <c r="I82" s="99">
        <f t="shared" si="10"/>
        <v>0</v>
      </c>
      <c r="J82" s="82"/>
      <c r="K82" s="82"/>
      <c r="L82" s="82"/>
      <c r="M82" s="63"/>
      <c r="N82" s="99">
        <f t="shared" si="11"/>
        <v>0</v>
      </c>
      <c r="O82" s="12">
        <f t="shared" si="0"/>
        <v>0</v>
      </c>
      <c r="P82" s="11"/>
    </row>
    <row r="83" spans="1:16" ht="15.5" customHeight="1" x14ac:dyDescent="0.3">
      <c r="A83" s="246" t="s">
        <v>79</v>
      </c>
      <c r="B83" s="247"/>
      <c r="C83" s="248"/>
      <c r="D83" s="11"/>
      <c r="E83" s="82"/>
      <c r="F83" s="82"/>
      <c r="G83" s="82"/>
      <c r="H83" s="65"/>
      <c r="I83" s="66">
        <f t="shared" si="10"/>
        <v>0</v>
      </c>
      <c r="J83" s="82"/>
      <c r="K83" s="82"/>
      <c r="L83" s="82"/>
      <c r="M83" s="65"/>
      <c r="N83" s="66">
        <f t="shared" si="11"/>
        <v>0</v>
      </c>
      <c r="O83" s="71">
        <f t="shared" si="0"/>
        <v>0</v>
      </c>
      <c r="P83" s="11"/>
    </row>
    <row r="84" spans="1:16" ht="15.5" customHeight="1" x14ac:dyDescent="0.3">
      <c r="A84" s="40"/>
      <c r="B84" s="41"/>
      <c r="C84" s="15" t="s">
        <v>108</v>
      </c>
      <c r="D84" s="11"/>
      <c r="E84" s="82"/>
      <c r="F84" s="82"/>
      <c r="G84" s="82"/>
      <c r="H84" s="63"/>
      <c r="I84" s="99">
        <f t="shared" si="10"/>
        <v>0</v>
      </c>
      <c r="J84" s="82"/>
      <c r="K84" s="82"/>
      <c r="L84" s="82"/>
      <c r="M84" s="63"/>
      <c r="N84" s="99">
        <f t="shared" si="11"/>
        <v>0</v>
      </c>
      <c r="O84" s="12">
        <f t="shared" si="0"/>
        <v>0</v>
      </c>
      <c r="P84" s="11"/>
    </row>
    <row r="85" spans="1:16" ht="15.5" customHeight="1" x14ac:dyDescent="0.3">
      <c r="A85" s="246" t="s">
        <v>81</v>
      </c>
      <c r="B85" s="247"/>
      <c r="C85" s="248"/>
      <c r="D85" s="11"/>
      <c r="E85" s="82"/>
      <c r="F85" s="82"/>
      <c r="G85" s="82"/>
      <c r="H85" s="65"/>
      <c r="I85" s="66">
        <f t="shared" si="10"/>
        <v>0</v>
      </c>
      <c r="J85" s="82"/>
      <c r="K85" s="82"/>
      <c r="L85" s="82"/>
      <c r="M85" s="65"/>
      <c r="N85" s="66">
        <f t="shared" si="11"/>
        <v>0</v>
      </c>
      <c r="O85" s="71">
        <f t="shared" ref="O85:O128" si="12">N85-I85</f>
        <v>0</v>
      </c>
      <c r="P85" s="11"/>
    </row>
    <row r="86" spans="1:16" ht="15.5" customHeight="1" x14ac:dyDescent="0.3">
      <c r="A86" s="37"/>
      <c r="B86" s="38"/>
      <c r="C86" s="15" t="s">
        <v>108</v>
      </c>
      <c r="D86" s="11"/>
      <c r="E86" s="82"/>
      <c r="F86" s="82"/>
      <c r="G86" s="82"/>
      <c r="H86" s="63"/>
      <c r="I86" s="99">
        <f t="shared" si="10"/>
        <v>0</v>
      </c>
      <c r="J86" s="82"/>
      <c r="K86" s="82"/>
      <c r="L86" s="82"/>
      <c r="M86" s="63"/>
      <c r="N86" s="99">
        <f t="shared" si="11"/>
        <v>0</v>
      </c>
      <c r="O86" s="12">
        <f t="shared" si="12"/>
        <v>0</v>
      </c>
      <c r="P86" s="11"/>
    </row>
    <row r="87" spans="1:16" ht="15.5" customHeight="1" x14ac:dyDescent="0.3">
      <c r="A87" s="214"/>
      <c r="B87" s="215"/>
      <c r="C87" s="216"/>
      <c r="D87" s="11"/>
      <c r="E87" s="12"/>
      <c r="F87" s="12"/>
      <c r="G87" s="12"/>
      <c r="H87" s="63"/>
      <c r="I87" s="13"/>
      <c r="J87" s="12"/>
      <c r="K87" s="12"/>
      <c r="L87" s="12"/>
      <c r="M87" s="63"/>
      <c r="N87" s="13"/>
      <c r="O87" s="71"/>
      <c r="P87" s="11"/>
    </row>
    <row r="88" spans="1:16" ht="13" customHeight="1" x14ac:dyDescent="0.3">
      <c r="A88" s="261" t="s">
        <v>80</v>
      </c>
      <c r="B88" s="262"/>
      <c r="C88" s="263"/>
      <c r="D88" s="16"/>
      <c r="E88" s="82"/>
      <c r="F88" s="82"/>
      <c r="G88" s="82"/>
      <c r="H88" s="64"/>
      <c r="I88" s="66">
        <f>H88</f>
        <v>0</v>
      </c>
      <c r="J88" s="82"/>
      <c r="K88" s="82"/>
      <c r="L88" s="82"/>
      <c r="M88" s="64"/>
      <c r="N88" s="66">
        <f>M88</f>
        <v>0</v>
      </c>
      <c r="O88" s="71">
        <f t="shared" si="12"/>
        <v>0</v>
      </c>
      <c r="P88" s="16"/>
    </row>
    <row r="89" spans="1:16" ht="15.5" customHeight="1" x14ac:dyDescent="0.3">
      <c r="A89" s="214"/>
      <c r="B89" s="215"/>
      <c r="C89" s="216"/>
      <c r="D89" s="11"/>
      <c r="E89" s="12"/>
      <c r="F89" s="12"/>
      <c r="G89" s="12"/>
      <c r="H89" s="26"/>
      <c r="I89" s="13"/>
      <c r="J89" s="12"/>
      <c r="K89" s="12"/>
      <c r="L89" s="12"/>
      <c r="M89" s="26"/>
      <c r="N89" s="13"/>
      <c r="O89" s="71"/>
      <c r="P89" s="11"/>
    </row>
    <row r="90" spans="1:16" x14ac:dyDescent="0.3">
      <c r="A90" s="264" t="s">
        <v>59</v>
      </c>
      <c r="B90" s="265"/>
      <c r="C90" s="266"/>
      <c r="D90" s="11"/>
      <c r="E90" s="82"/>
      <c r="F90" s="82"/>
      <c r="G90" s="82"/>
      <c r="H90" s="83"/>
      <c r="I90" s="93"/>
      <c r="J90" s="82"/>
      <c r="K90" s="82"/>
      <c r="L90" s="82"/>
      <c r="M90" s="83"/>
      <c r="N90" s="93"/>
      <c r="O90" s="103"/>
      <c r="P90" s="87"/>
    </row>
    <row r="91" spans="1:16" x14ac:dyDescent="0.3">
      <c r="A91" s="264" t="s">
        <v>82</v>
      </c>
      <c r="B91" s="265"/>
      <c r="C91" s="266"/>
      <c r="D91" s="11"/>
      <c r="E91" s="82"/>
      <c r="F91" s="82"/>
      <c r="G91" s="82"/>
      <c r="H91" s="83"/>
      <c r="I91" s="93"/>
      <c r="J91" s="82"/>
      <c r="K91" s="82"/>
      <c r="L91" s="82"/>
      <c r="M91" s="83"/>
      <c r="N91" s="93"/>
      <c r="O91" s="103"/>
      <c r="P91" s="87"/>
    </row>
    <row r="92" spans="1:16" ht="15.5" customHeight="1" x14ac:dyDescent="0.3">
      <c r="A92" s="246" t="s">
        <v>83</v>
      </c>
      <c r="B92" s="247"/>
      <c r="C92" s="248"/>
      <c r="D92" s="11"/>
      <c r="E92" s="82"/>
      <c r="F92" s="82"/>
      <c r="G92" s="26"/>
      <c r="H92" s="83"/>
      <c r="I92" s="13">
        <f>G92</f>
        <v>0</v>
      </c>
      <c r="J92" s="82"/>
      <c r="K92" s="82"/>
      <c r="L92" s="26"/>
      <c r="M92" s="83"/>
      <c r="N92" s="13">
        <f>L92</f>
        <v>0</v>
      </c>
      <c r="O92" s="12">
        <f t="shared" si="12"/>
        <v>0</v>
      </c>
      <c r="P92" s="11"/>
    </row>
    <row r="93" spans="1:16" ht="15.5" customHeight="1" x14ac:dyDescent="0.3">
      <c r="A93" s="246" t="s">
        <v>84</v>
      </c>
      <c r="B93" s="247"/>
      <c r="C93" s="248"/>
      <c r="D93" s="11"/>
      <c r="E93" s="82"/>
      <c r="F93" s="82"/>
      <c r="G93" s="26"/>
      <c r="H93" s="83"/>
      <c r="I93" s="13">
        <f t="shared" ref="I93:I96" si="13">G93</f>
        <v>0</v>
      </c>
      <c r="J93" s="82"/>
      <c r="K93" s="82"/>
      <c r="L93" s="26"/>
      <c r="M93" s="83"/>
      <c r="N93" s="13">
        <f t="shared" ref="N93:N96" si="14">L93</f>
        <v>0</v>
      </c>
      <c r="O93" s="12">
        <f t="shared" si="12"/>
        <v>0</v>
      </c>
      <c r="P93" s="11"/>
    </row>
    <row r="94" spans="1:16" ht="15.5" customHeight="1" x14ac:dyDescent="0.3">
      <c r="A94" s="246" t="s">
        <v>85</v>
      </c>
      <c r="B94" s="247"/>
      <c r="C94" s="248"/>
      <c r="D94" s="11"/>
      <c r="E94" s="82"/>
      <c r="F94" s="82"/>
      <c r="G94" s="26"/>
      <c r="H94" s="83"/>
      <c r="I94" s="13">
        <f t="shared" si="13"/>
        <v>0</v>
      </c>
      <c r="J94" s="82"/>
      <c r="K94" s="82"/>
      <c r="L94" s="26"/>
      <c r="M94" s="83"/>
      <c r="N94" s="13">
        <f t="shared" si="14"/>
        <v>0</v>
      </c>
      <c r="O94" s="12">
        <f t="shared" si="12"/>
        <v>0</v>
      </c>
      <c r="P94" s="11"/>
    </row>
    <row r="95" spans="1:16" ht="34.75" customHeight="1" x14ac:dyDescent="0.3">
      <c r="A95" s="252" t="s">
        <v>112</v>
      </c>
      <c r="B95" s="253"/>
      <c r="C95" s="254"/>
      <c r="D95" s="11"/>
      <c r="E95" s="82"/>
      <c r="F95" s="82"/>
      <c r="G95" s="26"/>
      <c r="H95" s="83"/>
      <c r="I95" s="13">
        <f t="shared" si="13"/>
        <v>0</v>
      </c>
      <c r="J95" s="82"/>
      <c r="K95" s="82"/>
      <c r="L95" s="26"/>
      <c r="M95" s="83"/>
      <c r="N95" s="13">
        <f t="shared" si="14"/>
        <v>0</v>
      </c>
      <c r="O95" s="12">
        <f t="shared" si="12"/>
        <v>0</v>
      </c>
      <c r="P95" s="11"/>
    </row>
    <row r="96" spans="1:16" x14ac:dyDescent="0.3">
      <c r="A96" s="252" t="s">
        <v>65</v>
      </c>
      <c r="B96" s="253"/>
      <c r="C96" s="254"/>
      <c r="D96" s="11"/>
      <c r="E96" s="82"/>
      <c r="F96" s="82"/>
      <c r="G96" s="68"/>
      <c r="H96" s="84"/>
      <c r="I96" s="13">
        <f t="shared" si="13"/>
        <v>0</v>
      </c>
      <c r="J96" s="82"/>
      <c r="K96" s="82"/>
      <c r="L96" s="68"/>
      <c r="M96" s="84"/>
      <c r="N96" s="13">
        <f t="shared" si="14"/>
        <v>0</v>
      </c>
      <c r="O96" s="12">
        <f t="shared" si="12"/>
        <v>0</v>
      </c>
      <c r="P96" s="11"/>
    </row>
    <row r="97" spans="1:16" x14ac:dyDescent="0.3">
      <c r="A97" s="211"/>
      <c r="B97" s="212"/>
      <c r="C97" s="213"/>
      <c r="D97" s="11"/>
      <c r="E97" s="12"/>
      <c r="F97" s="12"/>
      <c r="G97" s="12"/>
      <c r="H97" s="26"/>
      <c r="I97" s="16"/>
      <c r="J97" s="12"/>
      <c r="K97" s="12"/>
      <c r="L97" s="12"/>
      <c r="M97" s="26"/>
      <c r="N97" s="16"/>
      <c r="O97" s="104"/>
      <c r="P97" s="11"/>
    </row>
    <row r="98" spans="1:16" x14ac:dyDescent="0.3">
      <c r="A98" s="208" t="s">
        <v>41</v>
      </c>
      <c r="B98" s="209"/>
      <c r="C98" s="210"/>
      <c r="D98" s="19">
        <v>310400000000000</v>
      </c>
      <c r="E98" s="34"/>
      <c r="F98" s="34"/>
      <c r="G98" s="34"/>
      <c r="H98" s="29"/>
      <c r="I98" s="51"/>
      <c r="J98" s="9"/>
      <c r="K98" s="9"/>
      <c r="L98" s="9"/>
      <c r="M98" s="9"/>
      <c r="N98" s="9"/>
      <c r="O98" s="71"/>
      <c r="P98" s="9"/>
    </row>
    <row r="99" spans="1:16" x14ac:dyDescent="0.3">
      <c r="A99" s="211" t="s">
        <v>86</v>
      </c>
      <c r="B99" s="212"/>
      <c r="C99" s="213"/>
      <c r="D99" s="11"/>
      <c r="E99" s="82"/>
      <c r="F99" s="82"/>
      <c r="G99" s="82"/>
      <c r="H99" s="83"/>
      <c r="I99" s="93"/>
      <c r="J99" s="87"/>
      <c r="K99" s="87"/>
      <c r="L99" s="87"/>
      <c r="M99" s="87"/>
      <c r="N99" s="87"/>
      <c r="O99" s="103"/>
      <c r="P99" s="87"/>
    </row>
    <row r="100" spans="1:16" ht="13" customHeight="1" x14ac:dyDescent="0.3">
      <c r="A100" s="243" t="s">
        <v>87</v>
      </c>
      <c r="B100" s="244"/>
      <c r="C100" s="245"/>
      <c r="D100" s="16"/>
      <c r="E100" s="82"/>
      <c r="F100" s="82"/>
      <c r="G100" s="82"/>
      <c r="H100" s="83"/>
      <c r="I100" s="86"/>
      <c r="J100" s="86"/>
      <c r="K100" s="86"/>
      <c r="L100" s="86"/>
      <c r="M100" s="86"/>
      <c r="N100" s="86"/>
      <c r="O100" s="103"/>
      <c r="P100" s="86"/>
    </row>
    <row r="101" spans="1:16" ht="15.5" customHeight="1" x14ac:dyDescent="0.3">
      <c r="A101" s="246" t="s">
        <v>56</v>
      </c>
      <c r="B101" s="247"/>
      <c r="C101" s="248"/>
      <c r="D101" s="11"/>
      <c r="E101" s="82"/>
      <c r="F101" s="82"/>
      <c r="G101" s="82"/>
      <c r="H101" s="68"/>
      <c r="I101" s="96">
        <f>H101</f>
        <v>0</v>
      </c>
      <c r="J101" s="82"/>
      <c r="K101" s="82"/>
      <c r="L101" s="82"/>
      <c r="M101" s="101"/>
      <c r="N101" s="102">
        <f>M101</f>
        <v>0</v>
      </c>
      <c r="O101" s="71">
        <f t="shared" si="12"/>
        <v>0</v>
      </c>
      <c r="P101" s="11"/>
    </row>
    <row r="102" spans="1:16" ht="15.5" customHeight="1" x14ac:dyDescent="0.3">
      <c r="A102" s="246" t="s">
        <v>88</v>
      </c>
      <c r="B102" s="247"/>
      <c r="C102" s="248"/>
      <c r="D102" s="11"/>
      <c r="E102" s="82"/>
      <c r="F102" s="82"/>
      <c r="G102" s="82"/>
      <c r="H102" s="31"/>
      <c r="I102" s="96">
        <f>H102</f>
        <v>0</v>
      </c>
      <c r="J102" s="82"/>
      <c r="K102" s="82"/>
      <c r="L102" s="82"/>
      <c r="M102" s="101"/>
      <c r="N102" s="102">
        <f>M102</f>
        <v>0</v>
      </c>
      <c r="O102" s="71">
        <f t="shared" si="12"/>
        <v>0</v>
      </c>
      <c r="P102" s="11"/>
    </row>
    <row r="103" spans="1:16" ht="13" customHeight="1" x14ac:dyDescent="0.3">
      <c r="A103" s="243" t="s">
        <v>89</v>
      </c>
      <c r="B103" s="244"/>
      <c r="C103" s="245"/>
      <c r="D103" s="16"/>
      <c r="E103" s="82"/>
      <c r="F103" s="82"/>
      <c r="G103" s="82"/>
      <c r="H103" s="100"/>
      <c r="I103" s="86"/>
      <c r="J103" s="82"/>
      <c r="K103" s="82"/>
      <c r="L103" s="82"/>
      <c r="M103" s="86"/>
      <c r="N103" s="86"/>
      <c r="O103" s="103"/>
      <c r="P103" s="86"/>
    </row>
    <row r="104" spans="1:16" ht="15.5" customHeight="1" x14ac:dyDescent="0.3">
      <c r="A104" s="246" t="s">
        <v>56</v>
      </c>
      <c r="B104" s="247"/>
      <c r="C104" s="248"/>
      <c r="D104" s="11"/>
      <c r="E104" s="82"/>
      <c r="F104" s="82"/>
      <c r="G104" s="82"/>
      <c r="H104" s="31"/>
      <c r="I104" s="96">
        <f>H104</f>
        <v>0</v>
      </c>
      <c r="J104" s="82"/>
      <c r="K104" s="82"/>
      <c r="L104" s="82"/>
      <c r="M104" s="101"/>
      <c r="N104" s="71">
        <f>M104</f>
        <v>0</v>
      </c>
      <c r="O104" s="71">
        <f t="shared" si="12"/>
        <v>0</v>
      </c>
      <c r="P104" s="11"/>
    </row>
    <row r="105" spans="1:16" ht="15.5" customHeight="1" x14ac:dyDescent="0.3">
      <c r="A105" s="246" t="s">
        <v>88</v>
      </c>
      <c r="B105" s="247"/>
      <c r="C105" s="248"/>
      <c r="D105" s="11"/>
      <c r="E105" s="82"/>
      <c r="F105" s="82"/>
      <c r="G105" s="82"/>
      <c r="H105" s="31"/>
      <c r="I105" s="96">
        <f>H105</f>
        <v>0</v>
      </c>
      <c r="J105" s="82"/>
      <c r="K105" s="82"/>
      <c r="L105" s="82"/>
      <c r="M105" s="101"/>
      <c r="N105" s="71">
        <f>M105</f>
        <v>0</v>
      </c>
      <c r="O105" s="71">
        <f t="shared" si="12"/>
        <v>0</v>
      </c>
      <c r="P105" s="11"/>
    </row>
    <row r="106" spans="1:16" ht="27.65" customHeight="1" x14ac:dyDescent="0.3">
      <c r="A106" s="243" t="s">
        <v>90</v>
      </c>
      <c r="B106" s="244"/>
      <c r="C106" s="245"/>
      <c r="D106" s="16"/>
      <c r="E106" s="82"/>
      <c r="F106" s="82"/>
      <c r="G106" s="82"/>
      <c r="H106" s="83"/>
      <c r="I106" s="86"/>
      <c r="J106" s="86"/>
      <c r="K106" s="86"/>
      <c r="L106" s="86"/>
      <c r="M106" s="86"/>
      <c r="N106" s="86"/>
      <c r="O106" s="103"/>
      <c r="P106" s="86"/>
    </row>
    <row r="107" spans="1:16" ht="15.5" customHeight="1" x14ac:dyDescent="0.3">
      <c r="A107" s="246" t="s">
        <v>91</v>
      </c>
      <c r="B107" s="247"/>
      <c r="C107" s="248"/>
      <c r="D107" s="11"/>
      <c r="E107" s="109">
        <v>1</v>
      </c>
      <c r="F107" s="82"/>
      <c r="G107" s="82"/>
      <c r="H107" s="83"/>
      <c r="I107" s="96">
        <f>E107</f>
        <v>1</v>
      </c>
      <c r="J107" s="156" t="s">
        <v>170</v>
      </c>
      <c r="K107" s="82"/>
      <c r="L107" s="82"/>
      <c r="M107" s="83"/>
      <c r="N107" s="71" t="str">
        <f>J107</f>
        <v>-</v>
      </c>
      <c r="O107" s="71" t="e">
        <f t="shared" si="12"/>
        <v>#VALUE!</v>
      </c>
      <c r="P107" s="11"/>
    </row>
    <row r="108" spans="1:16" ht="15.5" customHeight="1" x14ac:dyDescent="0.3">
      <c r="A108" s="246" t="s">
        <v>92</v>
      </c>
      <c r="B108" s="247"/>
      <c r="C108" s="248"/>
      <c r="D108" s="11"/>
      <c r="E108" s="109">
        <v>1</v>
      </c>
      <c r="F108" s="82"/>
      <c r="G108" s="82"/>
      <c r="H108" s="83"/>
      <c r="I108" s="96">
        <f t="shared" ref="I108:I109" si="15">E108</f>
        <v>1</v>
      </c>
      <c r="J108" s="156" t="s">
        <v>170</v>
      </c>
      <c r="K108" s="82"/>
      <c r="L108" s="82"/>
      <c r="M108" s="83"/>
      <c r="N108" s="71" t="str">
        <f t="shared" ref="N108:N109" si="16">J108</f>
        <v>-</v>
      </c>
      <c r="O108" s="71" t="e">
        <f t="shared" si="12"/>
        <v>#VALUE!</v>
      </c>
      <c r="P108" s="11"/>
    </row>
    <row r="109" spans="1:16" ht="15.5" customHeight="1" x14ac:dyDescent="0.3">
      <c r="A109" s="246" t="s">
        <v>93</v>
      </c>
      <c r="B109" s="247"/>
      <c r="C109" s="248"/>
      <c r="D109" s="11"/>
      <c r="E109" s="109">
        <v>1</v>
      </c>
      <c r="F109" s="82"/>
      <c r="G109" s="82"/>
      <c r="H109" s="83"/>
      <c r="I109" s="96">
        <f t="shared" si="15"/>
        <v>1</v>
      </c>
      <c r="J109" s="156" t="s">
        <v>170</v>
      </c>
      <c r="K109" s="82"/>
      <c r="L109" s="82"/>
      <c r="M109" s="83"/>
      <c r="N109" s="71" t="str">
        <f t="shared" si="16"/>
        <v>-</v>
      </c>
      <c r="O109" s="71" t="e">
        <f t="shared" si="12"/>
        <v>#VALUE!</v>
      </c>
      <c r="P109" s="11"/>
    </row>
    <row r="110" spans="1:16" ht="15.5" customHeight="1" x14ac:dyDescent="0.3">
      <c r="A110" s="14"/>
      <c r="B110" s="3"/>
      <c r="C110" s="15"/>
      <c r="D110" s="11"/>
      <c r="E110" s="12"/>
      <c r="F110" s="12"/>
      <c r="G110" s="12"/>
      <c r="H110" s="26"/>
      <c r="I110" s="13"/>
      <c r="J110" s="11"/>
      <c r="K110" s="11"/>
      <c r="L110" s="11"/>
      <c r="M110" s="11"/>
      <c r="N110" s="11"/>
      <c r="O110" s="71"/>
      <c r="P110" s="11"/>
    </row>
    <row r="111" spans="1:16" x14ac:dyDescent="0.3">
      <c r="A111" s="211" t="s">
        <v>24</v>
      </c>
      <c r="B111" s="212"/>
      <c r="C111" s="213"/>
      <c r="D111" s="11"/>
      <c r="E111" s="82"/>
      <c r="F111" s="82"/>
      <c r="G111" s="82"/>
      <c r="H111" s="83"/>
      <c r="I111" s="93"/>
      <c r="J111" s="87"/>
      <c r="K111" s="87"/>
      <c r="L111" s="87"/>
      <c r="M111" s="87"/>
      <c r="N111" s="87"/>
      <c r="O111" s="103"/>
      <c r="P111" s="87"/>
    </row>
    <row r="112" spans="1:16" s="22" customFormat="1" ht="22.25" customHeight="1" x14ac:dyDescent="0.3">
      <c r="A112" s="252" t="s">
        <v>94</v>
      </c>
      <c r="B112" s="253"/>
      <c r="C112" s="254"/>
      <c r="D112" s="16"/>
      <c r="E112" s="82"/>
      <c r="F112" s="82"/>
      <c r="G112" s="82"/>
      <c r="H112" s="83"/>
      <c r="I112" s="86"/>
      <c r="J112" s="86"/>
      <c r="K112" s="86"/>
      <c r="L112" s="86"/>
      <c r="M112" s="86"/>
      <c r="N112" s="86"/>
      <c r="O112" s="103"/>
      <c r="P112" s="86"/>
    </row>
    <row r="113" spans="1:16" ht="15.5" customHeight="1" x14ac:dyDescent="0.3">
      <c r="A113" s="211" t="s">
        <v>28</v>
      </c>
      <c r="B113" s="212"/>
      <c r="C113" s="213"/>
      <c r="D113" s="11"/>
      <c r="E113" s="82"/>
      <c r="F113" s="82"/>
      <c r="G113" s="82"/>
      <c r="H113" s="63"/>
      <c r="I113" s="13">
        <f>H113</f>
        <v>0</v>
      </c>
      <c r="J113" s="82"/>
      <c r="K113" s="82"/>
      <c r="L113" s="82"/>
      <c r="M113" s="11"/>
      <c r="N113" s="12">
        <f>M113</f>
        <v>0</v>
      </c>
      <c r="O113" s="12">
        <f t="shared" si="12"/>
        <v>0</v>
      </c>
      <c r="P113" s="11"/>
    </row>
    <row r="114" spans="1:16" ht="15.5" customHeight="1" x14ac:dyDescent="0.3">
      <c r="A114" s="211" t="s">
        <v>29</v>
      </c>
      <c r="B114" s="212"/>
      <c r="C114" s="213"/>
      <c r="D114" s="11"/>
      <c r="E114" s="82"/>
      <c r="F114" s="82"/>
      <c r="G114" s="82"/>
      <c r="H114" s="63"/>
      <c r="I114" s="13">
        <f>H114</f>
        <v>0</v>
      </c>
      <c r="J114" s="82"/>
      <c r="K114" s="82"/>
      <c r="L114" s="82"/>
      <c r="M114" s="11"/>
      <c r="N114" s="12">
        <f>M114</f>
        <v>0</v>
      </c>
      <c r="O114" s="12">
        <f t="shared" si="12"/>
        <v>0</v>
      </c>
      <c r="P114" s="11"/>
    </row>
    <row r="115" spans="1:16" ht="15.5" customHeight="1" x14ac:dyDescent="0.3">
      <c r="A115" s="14"/>
      <c r="B115" s="3"/>
      <c r="C115" s="15"/>
      <c r="D115" s="11"/>
      <c r="E115" s="12"/>
      <c r="F115" s="12"/>
      <c r="G115" s="12"/>
      <c r="H115" s="26"/>
      <c r="I115" s="13"/>
      <c r="J115" s="11"/>
      <c r="K115" s="11"/>
      <c r="L115" s="11"/>
      <c r="M115" s="11"/>
      <c r="N115" s="11"/>
      <c r="O115" s="71"/>
      <c r="P115" s="11"/>
    </row>
    <row r="116" spans="1:16" ht="13" customHeight="1" x14ac:dyDescent="0.3">
      <c r="A116" s="243" t="s">
        <v>95</v>
      </c>
      <c r="B116" s="244"/>
      <c r="C116" s="245"/>
      <c r="D116" s="11"/>
      <c r="E116" s="82"/>
      <c r="F116" s="82"/>
      <c r="G116" s="82"/>
      <c r="H116" s="83"/>
      <c r="I116" s="86"/>
      <c r="J116" s="87"/>
      <c r="K116" s="87"/>
      <c r="L116" s="87"/>
      <c r="M116" s="87"/>
      <c r="N116" s="87"/>
      <c r="O116" s="103"/>
      <c r="P116" s="87"/>
    </row>
    <row r="117" spans="1:16" ht="15.5" customHeight="1" x14ac:dyDescent="0.3">
      <c r="A117" s="211" t="s">
        <v>30</v>
      </c>
      <c r="B117" s="212"/>
      <c r="C117" s="213"/>
      <c r="D117" s="11"/>
      <c r="E117" s="82"/>
      <c r="F117" s="82"/>
      <c r="G117" s="82"/>
      <c r="H117" s="26"/>
      <c r="I117" s="13">
        <f>H117</f>
        <v>0</v>
      </c>
      <c r="J117" s="82"/>
      <c r="K117" s="82"/>
      <c r="L117" s="82"/>
      <c r="M117" s="11"/>
      <c r="N117" s="12">
        <f>M117</f>
        <v>0</v>
      </c>
      <c r="O117" s="12">
        <f t="shared" si="12"/>
        <v>0</v>
      </c>
      <c r="P117" s="11"/>
    </row>
    <row r="118" spans="1:16" ht="15.5" customHeight="1" x14ac:dyDescent="0.3">
      <c r="A118" s="211" t="s">
        <v>31</v>
      </c>
      <c r="B118" s="212"/>
      <c r="C118" s="213"/>
      <c r="D118" s="11"/>
      <c r="E118" s="82"/>
      <c r="F118" s="82"/>
      <c r="G118" s="82"/>
      <c r="H118" s="26"/>
      <c r="I118" s="13">
        <f t="shared" ref="I118:I119" si="17">H118</f>
        <v>0</v>
      </c>
      <c r="J118" s="82"/>
      <c r="K118" s="82"/>
      <c r="L118" s="82"/>
      <c r="M118" s="11"/>
      <c r="N118" s="12">
        <f t="shared" ref="N118:N119" si="18">M118</f>
        <v>0</v>
      </c>
      <c r="O118" s="12">
        <f t="shared" si="12"/>
        <v>0</v>
      </c>
      <c r="P118" s="11"/>
    </row>
    <row r="119" spans="1:16" ht="15.5" customHeight="1" x14ac:dyDescent="0.3">
      <c r="A119" s="211" t="s">
        <v>32</v>
      </c>
      <c r="B119" s="212"/>
      <c r="C119" s="213"/>
      <c r="D119" s="11"/>
      <c r="E119" s="82"/>
      <c r="F119" s="82"/>
      <c r="G119" s="82"/>
      <c r="H119" s="26"/>
      <c r="I119" s="13">
        <f t="shared" si="17"/>
        <v>0</v>
      </c>
      <c r="J119" s="82"/>
      <c r="K119" s="82"/>
      <c r="L119" s="82"/>
      <c r="M119" s="11"/>
      <c r="N119" s="12">
        <f t="shared" si="18"/>
        <v>0</v>
      </c>
      <c r="O119" s="12">
        <f t="shared" si="12"/>
        <v>0</v>
      </c>
      <c r="P119" s="11"/>
    </row>
    <row r="120" spans="1:16" ht="13" customHeight="1" x14ac:dyDescent="0.3">
      <c r="A120" s="261"/>
      <c r="B120" s="262"/>
      <c r="C120" s="263"/>
      <c r="D120" s="16"/>
      <c r="E120" s="12"/>
      <c r="F120" s="12"/>
      <c r="G120" s="12"/>
      <c r="H120" s="26"/>
      <c r="I120" s="16"/>
      <c r="J120" s="16"/>
      <c r="K120" s="16"/>
      <c r="L120" s="16"/>
      <c r="M120" s="16"/>
      <c r="N120" s="16"/>
      <c r="O120" s="104"/>
      <c r="P120" s="16"/>
    </row>
    <row r="121" spans="1:16" x14ac:dyDescent="0.3">
      <c r="A121" s="208" t="s">
        <v>40</v>
      </c>
      <c r="B121" s="209"/>
      <c r="C121" s="210"/>
      <c r="D121" s="19">
        <v>310500000000000</v>
      </c>
      <c r="E121" s="105"/>
      <c r="F121" s="105"/>
      <c r="G121" s="105"/>
      <c r="H121" s="106"/>
      <c r="I121" s="107"/>
      <c r="J121" s="108"/>
      <c r="K121" s="108"/>
      <c r="L121" s="108"/>
      <c r="M121" s="108"/>
      <c r="N121" s="108"/>
      <c r="O121" s="103"/>
      <c r="P121" s="108"/>
    </row>
    <row r="122" spans="1:16" x14ac:dyDescent="0.3">
      <c r="A122" s="233" t="s">
        <v>86</v>
      </c>
      <c r="B122" s="234"/>
      <c r="C122" s="235"/>
      <c r="D122" s="87"/>
      <c r="E122" s="82"/>
      <c r="F122" s="82"/>
      <c r="G122" s="82"/>
      <c r="H122" s="83"/>
      <c r="I122" s="93"/>
      <c r="J122" s="87"/>
      <c r="K122" s="87"/>
      <c r="L122" s="87"/>
      <c r="M122" s="87"/>
      <c r="N122" s="87"/>
      <c r="O122" s="103"/>
      <c r="P122" s="87"/>
    </row>
    <row r="123" spans="1:16" s="10" customFormat="1" ht="28.25" customHeight="1" x14ac:dyDescent="0.35">
      <c r="A123" s="227" t="s">
        <v>96</v>
      </c>
      <c r="B123" s="228"/>
      <c r="C123" s="229"/>
      <c r="D123" s="12"/>
      <c r="E123" s="98"/>
      <c r="F123" s="98"/>
      <c r="G123" s="98"/>
      <c r="H123" s="68"/>
      <c r="I123" s="98" t="e">
        <f>AVERAGE(E123:H123)</f>
        <v>#DIV/0!</v>
      </c>
      <c r="J123" s="12" t="s">
        <v>170</v>
      </c>
      <c r="K123" s="12"/>
      <c r="L123" s="12"/>
      <c r="M123" s="12"/>
      <c r="N123" s="12" t="e">
        <f>AVERAGE(J123:M123)</f>
        <v>#DIV/0!</v>
      </c>
      <c r="O123" s="71" t="e">
        <f t="shared" si="12"/>
        <v>#DIV/0!</v>
      </c>
      <c r="P123" s="12"/>
    </row>
    <row r="124" spans="1:16" s="10" customFormat="1" ht="15.5" customHeight="1" x14ac:dyDescent="0.35">
      <c r="A124" s="72"/>
      <c r="B124" s="73"/>
      <c r="C124" s="74" t="s">
        <v>109</v>
      </c>
      <c r="D124" s="12"/>
      <c r="E124" s="98"/>
      <c r="F124" s="98"/>
      <c r="G124" s="98"/>
      <c r="H124" s="68"/>
      <c r="I124" s="98" t="e">
        <f>AVERAGE(E124:H124)</f>
        <v>#DIV/0!</v>
      </c>
      <c r="J124" s="12" t="s">
        <v>170</v>
      </c>
      <c r="K124" s="12"/>
      <c r="L124" s="12"/>
      <c r="M124" s="12"/>
      <c r="N124" s="12" t="e">
        <f>AVERAGE(J124:M124)</f>
        <v>#DIV/0!</v>
      </c>
      <c r="O124" s="71" t="e">
        <f t="shared" si="12"/>
        <v>#DIV/0!</v>
      </c>
      <c r="P124" s="12"/>
    </row>
    <row r="125" spans="1:16" s="10" customFormat="1" ht="15.5" customHeight="1" x14ac:dyDescent="0.35">
      <c r="A125" s="72"/>
      <c r="B125" s="73"/>
      <c r="C125" s="75" t="s">
        <v>110</v>
      </c>
      <c r="D125" s="12"/>
      <c r="E125" s="12"/>
      <c r="F125" s="12"/>
      <c r="G125" s="12"/>
      <c r="H125" s="26"/>
      <c r="I125" s="52" t="e">
        <f>AVERAGE(E125:H125)</f>
        <v>#DIV/0!</v>
      </c>
      <c r="J125" s="12">
        <f>SUM(J126:J128)</f>
        <v>142</v>
      </c>
      <c r="K125" s="12"/>
      <c r="L125" s="12"/>
      <c r="M125" s="12"/>
      <c r="N125" s="12">
        <f t="shared" ref="N125:N128" si="19">AVERAGE(J125:M125)</f>
        <v>142</v>
      </c>
      <c r="O125" s="71" t="e">
        <f t="shared" si="12"/>
        <v>#DIV/0!</v>
      </c>
      <c r="P125" s="12"/>
    </row>
    <row r="126" spans="1:16" s="10" customFormat="1" ht="15.5" customHeight="1" x14ac:dyDescent="0.35">
      <c r="A126" s="72"/>
      <c r="B126" s="73"/>
      <c r="C126" s="75" t="s">
        <v>56</v>
      </c>
      <c r="D126" s="12"/>
      <c r="E126" s="12"/>
      <c r="F126" s="12"/>
      <c r="G126" s="12"/>
      <c r="H126" s="26"/>
      <c r="I126" s="52" t="e">
        <f t="shared" ref="I126:I128" si="20">AVERAGE(E126:H126)</f>
        <v>#DIV/0!</v>
      </c>
      <c r="J126" s="12">
        <v>107</v>
      </c>
      <c r="K126" s="12"/>
      <c r="L126" s="12"/>
      <c r="M126" s="12"/>
      <c r="N126" s="12">
        <f t="shared" si="19"/>
        <v>107</v>
      </c>
      <c r="O126" s="71" t="e">
        <f t="shared" si="12"/>
        <v>#DIV/0!</v>
      </c>
      <c r="P126" s="12"/>
    </row>
    <row r="127" spans="1:16" s="10" customFormat="1" ht="15.5" customHeight="1" x14ac:dyDescent="0.35">
      <c r="A127" s="72"/>
      <c r="B127" s="73"/>
      <c r="C127" s="75" t="s">
        <v>57</v>
      </c>
      <c r="D127" s="12"/>
      <c r="E127" s="12"/>
      <c r="F127" s="12"/>
      <c r="G127" s="12"/>
      <c r="H127" s="26"/>
      <c r="I127" s="52" t="e">
        <f t="shared" si="20"/>
        <v>#DIV/0!</v>
      </c>
      <c r="J127" s="12">
        <v>5</v>
      </c>
      <c r="K127" s="12"/>
      <c r="L127" s="12"/>
      <c r="M127" s="12"/>
      <c r="N127" s="12">
        <f t="shared" si="19"/>
        <v>5</v>
      </c>
      <c r="O127" s="71" t="e">
        <f t="shared" si="12"/>
        <v>#DIV/0!</v>
      </c>
      <c r="P127" s="12"/>
    </row>
    <row r="128" spans="1:16" s="10" customFormat="1" ht="15.5" customHeight="1" x14ac:dyDescent="0.35">
      <c r="A128" s="72"/>
      <c r="B128" s="73"/>
      <c r="C128" s="75" t="s">
        <v>58</v>
      </c>
      <c r="D128" s="12"/>
      <c r="E128" s="12"/>
      <c r="F128" s="12"/>
      <c r="G128" s="12"/>
      <c r="H128" s="26"/>
      <c r="I128" s="52" t="e">
        <f t="shared" si="20"/>
        <v>#DIV/0!</v>
      </c>
      <c r="J128" s="12">
        <v>30</v>
      </c>
      <c r="K128" s="12"/>
      <c r="L128" s="12"/>
      <c r="M128" s="12"/>
      <c r="N128" s="12">
        <f t="shared" si="19"/>
        <v>30</v>
      </c>
      <c r="O128" s="71" t="e">
        <f t="shared" si="12"/>
        <v>#DIV/0!</v>
      </c>
      <c r="P128" s="12"/>
    </row>
    <row r="129" spans="1:16" s="10" customFormat="1" ht="15.5" customHeight="1" x14ac:dyDescent="0.35">
      <c r="A129" s="72"/>
      <c r="B129" s="73"/>
      <c r="C129" s="74"/>
      <c r="D129" s="12"/>
      <c r="E129" s="12"/>
      <c r="F129" s="12"/>
      <c r="G129" s="12"/>
      <c r="H129" s="26"/>
      <c r="I129" s="52"/>
      <c r="J129" s="12"/>
      <c r="K129" s="12"/>
      <c r="L129" s="12"/>
      <c r="M129" s="12"/>
      <c r="N129" s="12"/>
      <c r="O129" s="71"/>
      <c r="P129" s="12"/>
    </row>
    <row r="130" spans="1:16" x14ac:dyDescent="0.3">
      <c r="A130" s="224" t="s">
        <v>59</v>
      </c>
      <c r="B130" s="225"/>
      <c r="C130" s="226"/>
      <c r="D130" s="87"/>
      <c r="E130" s="82"/>
      <c r="F130" s="82"/>
      <c r="G130" s="82"/>
      <c r="H130" s="83"/>
      <c r="I130" s="93"/>
      <c r="J130" s="87"/>
      <c r="K130" s="87"/>
      <c r="L130" s="87"/>
      <c r="M130" s="87"/>
      <c r="N130" s="87"/>
      <c r="O130" s="103"/>
      <c r="P130" s="87"/>
    </row>
    <row r="131" spans="1:16" ht="31.25" customHeight="1" x14ac:dyDescent="0.3">
      <c r="A131" s="227" t="s">
        <v>97</v>
      </c>
      <c r="B131" s="228"/>
      <c r="C131" s="229"/>
      <c r="D131" s="16"/>
      <c r="E131" s="12"/>
      <c r="F131" s="12"/>
      <c r="G131" s="12"/>
      <c r="H131" s="26"/>
      <c r="I131" s="12"/>
      <c r="J131" s="16">
        <f>SUM(J132:J133)</f>
        <v>179</v>
      </c>
      <c r="K131" s="16"/>
      <c r="L131" s="16"/>
      <c r="M131" s="16"/>
      <c r="N131" s="12"/>
      <c r="O131" s="12"/>
      <c r="P131" s="16"/>
    </row>
    <row r="132" spans="1:16" ht="14.5" customHeight="1" x14ac:dyDescent="0.3">
      <c r="A132" s="227" t="s">
        <v>113</v>
      </c>
      <c r="B132" s="228"/>
      <c r="C132" s="229"/>
      <c r="D132" s="16"/>
      <c r="E132" s="12"/>
      <c r="F132" s="12"/>
      <c r="G132" s="12"/>
      <c r="H132" s="26"/>
      <c r="I132" s="12">
        <f>SUM(E132:H132)</f>
        <v>0</v>
      </c>
      <c r="J132" s="16">
        <v>13</v>
      </c>
      <c r="K132" s="16"/>
      <c r="L132" s="16"/>
      <c r="M132" s="16"/>
      <c r="N132" s="12">
        <f>SUM(J132:M132)</f>
        <v>13</v>
      </c>
      <c r="O132" s="12">
        <f t="shared" ref="O132:O134" si="21">N132-I132</f>
        <v>13</v>
      </c>
      <c r="P132" s="16"/>
    </row>
    <row r="133" spans="1:16" ht="14.5" customHeight="1" x14ac:dyDescent="0.3">
      <c r="A133" s="227" t="s">
        <v>114</v>
      </c>
      <c r="B133" s="228"/>
      <c r="C133" s="229"/>
      <c r="D133" s="16"/>
      <c r="E133" s="12"/>
      <c r="F133" s="12"/>
      <c r="G133" s="12"/>
      <c r="H133" s="26"/>
      <c r="I133" s="12">
        <f>SUM(E133:H133)</f>
        <v>0</v>
      </c>
      <c r="J133" s="16">
        <v>166</v>
      </c>
      <c r="K133" s="16"/>
      <c r="L133" s="16"/>
      <c r="M133" s="16"/>
      <c r="N133" s="12">
        <f>SUM(J133:M133)</f>
        <v>166</v>
      </c>
      <c r="O133" s="12">
        <f t="shared" si="21"/>
        <v>166</v>
      </c>
      <c r="P133" s="16"/>
    </row>
    <row r="134" spans="1:16" ht="14.5" customHeight="1" x14ac:dyDescent="0.3">
      <c r="A134" s="227" t="s">
        <v>115</v>
      </c>
      <c r="B134" s="228"/>
      <c r="C134" s="229"/>
      <c r="D134" s="16"/>
      <c r="E134" s="12"/>
      <c r="F134" s="12"/>
      <c r="G134" s="12"/>
      <c r="H134" s="26"/>
      <c r="I134" s="12">
        <f>SUM(E134:H134)</f>
        <v>0</v>
      </c>
      <c r="J134" s="16">
        <v>128</v>
      </c>
      <c r="K134" s="16"/>
      <c r="L134" s="16"/>
      <c r="M134" s="16"/>
      <c r="N134" s="12">
        <f>SUM(J134:M134)</f>
        <v>128</v>
      </c>
      <c r="O134" s="12">
        <f t="shared" si="21"/>
        <v>128</v>
      </c>
      <c r="P134" s="16"/>
    </row>
    <row r="135" spans="1:16" ht="14.5" customHeight="1" x14ac:dyDescent="0.3">
      <c r="A135" s="240"/>
      <c r="B135" s="241"/>
      <c r="C135" s="242"/>
      <c r="D135" s="110"/>
      <c r="E135" s="111"/>
      <c r="F135" s="111"/>
      <c r="G135" s="111"/>
      <c r="H135" s="112"/>
      <c r="I135" s="111"/>
      <c r="J135" s="110"/>
      <c r="K135" s="110"/>
      <c r="L135" s="110"/>
      <c r="M135" s="110"/>
      <c r="N135" s="111"/>
      <c r="O135" s="111"/>
      <c r="P135" s="110"/>
    </row>
    <row r="136" spans="1:16" x14ac:dyDescent="0.3">
      <c r="A136" s="215"/>
      <c r="B136" s="215"/>
      <c r="C136" s="215"/>
    </row>
    <row r="137" spans="1:16" x14ac:dyDescent="0.3">
      <c r="A137" s="268" t="s">
        <v>34</v>
      </c>
      <c r="B137" s="268"/>
      <c r="C137" s="268"/>
      <c r="H137" s="268" t="s">
        <v>35</v>
      </c>
      <c r="I137" s="268"/>
      <c r="J137" s="268"/>
      <c r="M137" s="268" t="s">
        <v>14</v>
      </c>
      <c r="N137" s="268"/>
      <c r="O137" s="268"/>
    </row>
    <row r="138" spans="1:16" x14ac:dyDescent="0.3">
      <c r="A138" s="215"/>
      <c r="B138" s="215"/>
      <c r="C138" s="215"/>
      <c r="H138" s="215"/>
      <c r="I138" s="215"/>
      <c r="J138" s="215"/>
      <c r="M138" s="215"/>
      <c r="N138" s="215"/>
      <c r="O138" s="215"/>
    </row>
    <row r="139" spans="1:16" x14ac:dyDescent="0.3">
      <c r="A139" s="307"/>
      <c r="B139" s="307"/>
      <c r="C139" s="307"/>
      <c r="H139" s="307"/>
      <c r="I139" s="307"/>
      <c r="J139" s="307"/>
      <c r="M139" s="307"/>
      <c r="N139" s="307"/>
      <c r="O139" s="307"/>
    </row>
    <row r="140" spans="1:16" x14ac:dyDescent="0.3">
      <c r="A140" s="209"/>
      <c r="B140" s="209"/>
      <c r="C140" s="209"/>
      <c r="H140" s="209"/>
      <c r="I140" s="209"/>
      <c r="J140" s="209"/>
      <c r="M140" s="1" t="s">
        <v>33</v>
      </c>
      <c r="N140" s="1"/>
      <c r="O140" s="1"/>
      <c r="P140" s="3"/>
    </row>
    <row r="141" spans="1:16" x14ac:dyDescent="0.3">
      <c r="A141" s="267" t="s">
        <v>13</v>
      </c>
      <c r="B141" s="267"/>
      <c r="C141" s="267"/>
      <c r="H141" s="30" t="s">
        <v>13</v>
      </c>
      <c r="M141" s="267" t="s">
        <v>13</v>
      </c>
      <c r="N141" s="267"/>
      <c r="O141" s="267"/>
      <c r="P141" s="267"/>
    </row>
  </sheetData>
  <mergeCells count="117">
    <mergeCell ref="O1:P1"/>
    <mergeCell ref="O2:P2"/>
    <mergeCell ref="E4:J4"/>
    <mergeCell ref="E5:J5"/>
    <mergeCell ref="C8:D8"/>
    <mergeCell ref="C9:D9"/>
    <mergeCell ref="O13:O14"/>
    <mergeCell ref="P13:P14"/>
    <mergeCell ref="A15:C15"/>
    <mergeCell ref="A16:C16"/>
    <mergeCell ref="A17:C17"/>
    <mergeCell ref="A18:C18"/>
    <mergeCell ref="C10:D10"/>
    <mergeCell ref="C11:D11"/>
    <mergeCell ref="A13:C14"/>
    <mergeCell ref="D13:D14"/>
    <mergeCell ref="E13:I13"/>
    <mergeCell ref="J13:N13"/>
    <mergeCell ref="A28:C28"/>
    <mergeCell ref="A29:C29"/>
    <mergeCell ref="A30:C30"/>
    <mergeCell ref="A31:C31"/>
    <mergeCell ref="A32:C32"/>
    <mergeCell ref="A36:C36"/>
    <mergeCell ref="A19:C19"/>
    <mergeCell ref="A21:C21"/>
    <mergeCell ref="A23:C23"/>
    <mergeCell ref="A24:C24"/>
    <mergeCell ref="A25:C25"/>
    <mergeCell ref="A27:C27"/>
    <mergeCell ref="A50:C50"/>
    <mergeCell ref="A52:C52"/>
    <mergeCell ref="A55:C55"/>
    <mergeCell ref="A56:C56"/>
    <mergeCell ref="A58:C58"/>
    <mergeCell ref="A60:C60"/>
    <mergeCell ref="A38:C38"/>
    <mergeCell ref="A41:C41"/>
    <mergeCell ref="A42:C42"/>
    <mergeCell ref="A44:C44"/>
    <mergeCell ref="A46:C46"/>
    <mergeCell ref="A48:C48"/>
    <mergeCell ref="A69:C69"/>
    <mergeCell ref="A70:C70"/>
    <mergeCell ref="A71:C71"/>
    <mergeCell ref="A72:C72"/>
    <mergeCell ref="A73:C73"/>
    <mergeCell ref="A74:C74"/>
    <mergeCell ref="A62:C62"/>
    <mergeCell ref="A63:C63"/>
    <mergeCell ref="A64:C64"/>
    <mergeCell ref="A65:C65"/>
    <mergeCell ref="A66:C66"/>
    <mergeCell ref="A67:C67"/>
    <mergeCell ref="A83:C83"/>
    <mergeCell ref="A85:C85"/>
    <mergeCell ref="A87:C87"/>
    <mergeCell ref="A88:C88"/>
    <mergeCell ref="A89:C89"/>
    <mergeCell ref="A90:C90"/>
    <mergeCell ref="A75:C75"/>
    <mergeCell ref="A76:C76"/>
    <mergeCell ref="A77:C77"/>
    <mergeCell ref="A78:C78"/>
    <mergeCell ref="A79:C79"/>
    <mergeCell ref="A81:C81"/>
    <mergeCell ref="A97:C97"/>
    <mergeCell ref="A98:C98"/>
    <mergeCell ref="A99:C99"/>
    <mergeCell ref="A100:C100"/>
    <mergeCell ref="A101:C101"/>
    <mergeCell ref="A102:C102"/>
    <mergeCell ref="A91:C91"/>
    <mergeCell ref="A92:C92"/>
    <mergeCell ref="A93:C93"/>
    <mergeCell ref="A94:C94"/>
    <mergeCell ref="A95:C95"/>
    <mergeCell ref="A96:C96"/>
    <mergeCell ref="A109:C109"/>
    <mergeCell ref="A111:C111"/>
    <mergeCell ref="A112:C112"/>
    <mergeCell ref="A113:C113"/>
    <mergeCell ref="A114:C114"/>
    <mergeCell ref="A116:C116"/>
    <mergeCell ref="A103:C103"/>
    <mergeCell ref="A104:C104"/>
    <mergeCell ref="A105:C105"/>
    <mergeCell ref="A106:C106"/>
    <mergeCell ref="A107:C107"/>
    <mergeCell ref="A108:C108"/>
    <mergeCell ref="A123:C123"/>
    <mergeCell ref="A130:C130"/>
    <mergeCell ref="A131:C131"/>
    <mergeCell ref="A132:C132"/>
    <mergeCell ref="A133:C133"/>
    <mergeCell ref="A134:C134"/>
    <mergeCell ref="A117:C117"/>
    <mergeCell ref="A118:C118"/>
    <mergeCell ref="A119:C119"/>
    <mergeCell ref="A120:C120"/>
    <mergeCell ref="A121:C121"/>
    <mergeCell ref="A122:C122"/>
    <mergeCell ref="A139:C139"/>
    <mergeCell ref="H139:J139"/>
    <mergeCell ref="M139:O139"/>
    <mergeCell ref="A140:C140"/>
    <mergeCell ref="H140:J140"/>
    <mergeCell ref="A141:C141"/>
    <mergeCell ref="M141:P141"/>
    <mergeCell ref="A135:C135"/>
    <mergeCell ref="A136:C136"/>
    <mergeCell ref="A137:C137"/>
    <mergeCell ref="H137:J137"/>
    <mergeCell ref="M137:O137"/>
    <mergeCell ref="A138:C138"/>
    <mergeCell ref="H138:J138"/>
    <mergeCell ref="M138:O138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9B59-4B84-4CEA-8556-36C0F82DAEB0}">
  <dimension ref="A1:P141"/>
  <sheetViews>
    <sheetView topLeftCell="E57" zoomScale="92" zoomScaleNormal="90" workbookViewId="0">
      <selection activeCell="P66" sqref="P66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124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ht="13.5" thickBot="1" x14ac:dyDescent="0.35">
      <c r="A15" s="272">
        <v>1</v>
      </c>
      <c r="B15" s="272"/>
      <c r="C15" s="272"/>
      <c r="D15" s="6">
        <v>2</v>
      </c>
      <c r="E15" s="6">
        <v>3</v>
      </c>
      <c r="F15" s="6">
        <v>4</v>
      </c>
      <c r="G15" s="6">
        <v>5</v>
      </c>
      <c r="H15" s="7">
        <v>6</v>
      </c>
      <c r="I15" s="6" t="s">
        <v>21</v>
      </c>
      <c r="J15" s="6">
        <v>8</v>
      </c>
      <c r="K15" s="6">
        <v>9</v>
      </c>
      <c r="L15" s="6">
        <v>10</v>
      </c>
      <c r="M15" s="6">
        <v>11</v>
      </c>
      <c r="N15" s="6" t="s">
        <v>22</v>
      </c>
      <c r="O15" s="6">
        <v>13</v>
      </c>
      <c r="P15" s="6">
        <v>14</v>
      </c>
    </row>
    <row r="16" spans="1:16" ht="40.25" customHeight="1" x14ac:dyDescent="0.3">
      <c r="A16" s="285" t="s">
        <v>36</v>
      </c>
      <c r="B16" s="286"/>
      <c r="C16" s="287"/>
      <c r="D16" s="8"/>
      <c r="E16" s="33"/>
      <c r="F16" s="33"/>
      <c r="G16" s="33"/>
      <c r="H16" s="28"/>
      <c r="I16" s="50"/>
      <c r="J16" s="8"/>
      <c r="K16" s="8"/>
      <c r="L16" s="8"/>
      <c r="M16" s="8"/>
      <c r="N16" s="8"/>
      <c r="O16" s="8"/>
      <c r="P16" s="8"/>
    </row>
    <row r="17" spans="1:16" ht="13.25" customHeight="1" x14ac:dyDescent="0.3">
      <c r="A17" s="275" t="s">
        <v>37</v>
      </c>
      <c r="B17" s="276"/>
      <c r="C17" s="277"/>
      <c r="D17" s="20">
        <v>310100000000000</v>
      </c>
      <c r="E17" s="34"/>
      <c r="F17" s="34"/>
      <c r="G17" s="34"/>
      <c r="H17" s="29"/>
      <c r="I17" s="51"/>
      <c r="J17" s="9"/>
      <c r="K17" s="9"/>
      <c r="L17" s="9"/>
      <c r="M17" s="9"/>
      <c r="N17" s="9"/>
      <c r="O17" s="9"/>
      <c r="P17" s="9"/>
    </row>
    <row r="18" spans="1:16" x14ac:dyDescent="0.3">
      <c r="A18" s="314" t="s">
        <v>38</v>
      </c>
      <c r="B18" s="315"/>
      <c r="C18" s="316"/>
      <c r="D18" s="11"/>
      <c r="E18" s="82"/>
      <c r="F18" s="82"/>
      <c r="G18" s="82"/>
      <c r="H18" s="83"/>
      <c r="I18" s="93"/>
      <c r="J18" s="87"/>
      <c r="K18" s="87"/>
      <c r="L18" s="87"/>
      <c r="M18" s="87"/>
      <c r="N18" s="87"/>
      <c r="O18" s="87"/>
      <c r="P18" s="87"/>
    </row>
    <row r="19" spans="1:16" s="25" customFormat="1" ht="30" customHeight="1" x14ac:dyDescent="0.35">
      <c r="A19" s="252" t="s">
        <v>43</v>
      </c>
      <c r="B19" s="253"/>
      <c r="C19" s="254"/>
      <c r="D19" s="24"/>
      <c r="E19" s="76"/>
      <c r="F19" s="76"/>
      <c r="G19" s="76"/>
      <c r="H19" s="77"/>
      <c r="I19" s="78" t="e">
        <f>AVERAGE(E19:H19)</f>
        <v>#DIV/0!</v>
      </c>
      <c r="J19" s="97" t="s">
        <v>170</v>
      </c>
      <c r="K19" s="97"/>
      <c r="L19" s="97"/>
      <c r="M19" s="97"/>
      <c r="N19" s="98" t="e">
        <f>AVERAGE(J19:M19)</f>
        <v>#DIV/0!</v>
      </c>
      <c r="O19" s="71" t="e">
        <f>N19-I19</f>
        <v>#DIV/0!</v>
      </c>
      <c r="P19" s="24"/>
    </row>
    <row r="20" spans="1:16" s="25" customFormat="1" ht="19.75" customHeight="1" x14ac:dyDescent="0.35">
      <c r="A20" s="21"/>
      <c r="B20" s="22"/>
      <c r="C20" s="23"/>
      <c r="D20" s="24"/>
      <c r="E20" s="12"/>
      <c r="F20" s="12"/>
      <c r="G20" s="12"/>
      <c r="H20" s="54"/>
      <c r="I20" s="53"/>
      <c r="J20" s="24"/>
      <c r="K20" s="24"/>
      <c r="L20" s="24"/>
      <c r="M20" s="24"/>
      <c r="N20" s="24"/>
      <c r="O20" s="71"/>
      <c r="P20" s="24"/>
    </row>
    <row r="21" spans="1:16" s="25" customFormat="1" ht="14" customHeight="1" x14ac:dyDescent="0.35">
      <c r="A21" s="252" t="s">
        <v>44</v>
      </c>
      <c r="B21" s="253"/>
      <c r="C21" s="254"/>
      <c r="D21" s="24"/>
      <c r="E21" s="76"/>
      <c r="F21" s="76"/>
      <c r="G21" s="76"/>
      <c r="H21" s="77"/>
      <c r="I21" s="79" t="e">
        <f>AVERAGE(E21:H21)</f>
        <v>#DIV/0!</v>
      </c>
      <c r="J21" s="24" t="s">
        <v>170</v>
      </c>
      <c r="K21" s="24"/>
      <c r="L21" s="24"/>
      <c r="M21" s="24"/>
      <c r="N21" s="12" t="e">
        <f>AVERAGE(J21:M21)</f>
        <v>#DIV/0!</v>
      </c>
      <c r="O21" s="71" t="e">
        <f t="shared" ref="O21:O84" si="0">N21-I21</f>
        <v>#DIV/0!</v>
      </c>
      <c r="P21" s="24"/>
    </row>
    <row r="22" spans="1:16" s="25" customFormat="1" ht="14" customHeight="1" x14ac:dyDescent="0.35">
      <c r="A22" s="21"/>
      <c r="B22" s="22"/>
      <c r="C22" s="23"/>
      <c r="D22" s="24"/>
      <c r="E22" s="12"/>
      <c r="F22" s="12"/>
      <c r="G22" s="12"/>
      <c r="H22" s="31"/>
      <c r="I22" s="52"/>
      <c r="J22" s="24"/>
      <c r="K22" s="24"/>
      <c r="L22" s="24"/>
      <c r="M22" s="24"/>
      <c r="N22" s="24"/>
      <c r="O22" s="71"/>
      <c r="P22" s="24"/>
    </row>
    <row r="23" spans="1:16" x14ac:dyDescent="0.3">
      <c r="A23" s="288" t="s">
        <v>39</v>
      </c>
      <c r="B23" s="289"/>
      <c r="C23" s="290"/>
      <c r="D23" s="11"/>
      <c r="E23" s="82"/>
      <c r="F23" s="82"/>
      <c r="G23" s="82"/>
      <c r="H23" s="83"/>
      <c r="I23" s="93"/>
      <c r="J23" s="87"/>
      <c r="K23" s="87"/>
      <c r="L23" s="87"/>
      <c r="M23" s="87"/>
      <c r="N23" s="87"/>
      <c r="O23" s="103"/>
      <c r="P23" s="87"/>
    </row>
    <row r="24" spans="1:16" x14ac:dyDescent="0.3">
      <c r="A24" s="291" t="s">
        <v>55</v>
      </c>
      <c r="B24" s="292"/>
      <c r="C24" s="293"/>
      <c r="D24" s="11"/>
      <c r="E24" s="76"/>
      <c r="F24" s="76"/>
      <c r="G24" s="76"/>
      <c r="H24" s="80"/>
      <c r="I24" s="81">
        <f>SUM(E24:H24)</f>
        <v>0</v>
      </c>
      <c r="J24" s="16" t="s">
        <v>170</v>
      </c>
      <c r="K24" s="11"/>
      <c r="L24" s="11"/>
      <c r="M24" s="11"/>
      <c r="N24" s="12">
        <f>SUM(J24:M24)</f>
        <v>0</v>
      </c>
      <c r="O24" s="12">
        <f t="shared" si="0"/>
        <v>0</v>
      </c>
      <c r="P24" s="11"/>
    </row>
    <row r="25" spans="1:16" x14ac:dyDescent="0.3">
      <c r="A25" s="291" t="s">
        <v>53</v>
      </c>
      <c r="B25" s="292"/>
      <c r="C25" s="293"/>
      <c r="D25" s="11"/>
      <c r="E25" s="12"/>
      <c r="F25" s="12"/>
      <c r="G25" s="12"/>
      <c r="H25" s="26"/>
      <c r="I25" s="55">
        <f>SUM(E25:H25)</f>
        <v>0</v>
      </c>
      <c r="J25" s="16" t="s">
        <v>170</v>
      </c>
      <c r="K25" s="11"/>
      <c r="L25" s="11"/>
      <c r="M25" s="11"/>
      <c r="N25" s="12">
        <f t="shared" ref="N25:N26" si="1">SUM(J25:M25)</f>
        <v>0</v>
      </c>
      <c r="O25" s="12">
        <f t="shared" si="0"/>
        <v>0</v>
      </c>
      <c r="P25" s="11"/>
    </row>
    <row r="26" spans="1:16" x14ac:dyDescent="0.3">
      <c r="A26" s="17"/>
      <c r="B26" s="18"/>
      <c r="C26" s="35" t="s">
        <v>45</v>
      </c>
      <c r="D26" s="11"/>
      <c r="E26" s="12"/>
      <c r="F26" s="12"/>
      <c r="G26" s="12"/>
      <c r="H26" s="26"/>
      <c r="I26" s="55">
        <f>SUM(E26:H26)</f>
        <v>0</v>
      </c>
      <c r="J26" s="16">
        <v>2</v>
      </c>
      <c r="K26" s="11"/>
      <c r="L26" s="11"/>
      <c r="M26" s="11"/>
      <c r="N26" s="12">
        <f t="shared" si="1"/>
        <v>2</v>
      </c>
      <c r="O26" s="12">
        <f t="shared" si="0"/>
        <v>2</v>
      </c>
      <c r="P26" s="11"/>
    </row>
    <row r="27" spans="1:16" x14ac:dyDescent="0.3">
      <c r="A27" s="291" t="s">
        <v>54</v>
      </c>
      <c r="B27" s="292"/>
      <c r="C27" s="293"/>
      <c r="D27" s="11"/>
      <c r="E27" s="76"/>
      <c r="F27" s="76"/>
      <c r="G27" s="76"/>
      <c r="H27" s="80"/>
      <c r="I27" s="81">
        <f>SUM(E27:H27)</f>
        <v>0</v>
      </c>
      <c r="J27" s="16" t="s">
        <v>170</v>
      </c>
      <c r="K27" s="11"/>
      <c r="L27" s="11"/>
      <c r="M27" s="11"/>
      <c r="N27" s="12">
        <f>SUM(J27:M27)</f>
        <v>0</v>
      </c>
      <c r="O27" s="12">
        <f t="shared" si="0"/>
        <v>0</v>
      </c>
      <c r="P27" s="11"/>
    </row>
    <row r="28" spans="1:16" x14ac:dyDescent="0.3">
      <c r="A28" s="214"/>
      <c r="B28" s="215"/>
      <c r="C28" s="216"/>
      <c r="D28" s="11"/>
      <c r="E28" s="12"/>
      <c r="F28" s="12"/>
      <c r="G28" s="12"/>
      <c r="H28" s="26"/>
      <c r="I28" s="13"/>
      <c r="J28" s="11"/>
      <c r="K28" s="11"/>
      <c r="L28" s="11"/>
      <c r="M28" s="11"/>
      <c r="N28" s="11"/>
      <c r="O28" s="104"/>
      <c r="P28" s="11"/>
    </row>
    <row r="29" spans="1:16" x14ac:dyDescent="0.3">
      <c r="A29" s="208" t="s">
        <v>47</v>
      </c>
      <c r="B29" s="209"/>
      <c r="C29" s="210"/>
      <c r="D29" s="20">
        <v>310200000000000</v>
      </c>
      <c r="E29" s="34"/>
      <c r="F29" s="34"/>
      <c r="G29" s="34"/>
      <c r="H29" s="29"/>
      <c r="I29" s="51"/>
      <c r="J29" s="9"/>
      <c r="K29" s="9"/>
      <c r="L29" s="9"/>
      <c r="M29" s="9"/>
      <c r="N29" s="9"/>
      <c r="O29" s="71"/>
      <c r="P29" s="9"/>
    </row>
    <row r="30" spans="1:16" x14ac:dyDescent="0.3">
      <c r="A30" s="224" t="s">
        <v>48</v>
      </c>
      <c r="B30" s="225"/>
      <c r="C30" s="226"/>
      <c r="D30" s="11"/>
      <c r="E30" s="82"/>
      <c r="F30" s="82"/>
      <c r="G30" s="82"/>
      <c r="H30" s="83"/>
      <c r="I30" s="93"/>
      <c r="J30" s="87"/>
      <c r="K30" s="87"/>
      <c r="L30" s="87"/>
      <c r="M30" s="87"/>
      <c r="N30" s="87"/>
      <c r="O30" s="103"/>
      <c r="P30" s="87"/>
    </row>
    <row r="31" spans="1:16" s="10" customFormat="1" ht="31.75" customHeight="1" x14ac:dyDescent="0.3">
      <c r="A31" s="252" t="s">
        <v>49</v>
      </c>
      <c r="B31" s="253"/>
      <c r="C31" s="254"/>
      <c r="D31" s="16"/>
      <c r="E31" s="82"/>
      <c r="F31" s="82"/>
      <c r="G31" s="82"/>
      <c r="H31" s="83"/>
      <c r="I31" s="86"/>
      <c r="J31" s="86"/>
      <c r="K31" s="86"/>
      <c r="L31" s="86"/>
      <c r="M31" s="86"/>
      <c r="N31" s="86"/>
      <c r="O31" s="103"/>
      <c r="P31" s="86"/>
    </row>
    <row r="32" spans="1:16" ht="15.5" customHeight="1" x14ac:dyDescent="0.3">
      <c r="A32" s="211" t="s">
        <v>25</v>
      </c>
      <c r="B32" s="212"/>
      <c r="C32" s="213"/>
      <c r="D32" s="11"/>
      <c r="E32" s="82"/>
      <c r="F32" s="36"/>
      <c r="G32" s="82"/>
      <c r="H32" s="83"/>
      <c r="I32" s="92">
        <f>F32</f>
        <v>0</v>
      </c>
      <c r="J32" s="82"/>
      <c r="K32" s="36"/>
      <c r="L32" s="82"/>
      <c r="M32" s="83"/>
      <c r="N32" s="92">
        <f>K32</f>
        <v>0</v>
      </c>
      <c r="O32" s="71">
        <f t="shared" si="0"/>
        <v>0</v>
      </c>
      <c r="P32" s="11"/>
    </row>
    <row r="33" spans="1:16" ht="15.5" customHeight="1" x14ac:dyDescent="0.3">
      <c r="A33" s="14"/>
      <c r="B33" s="3"/>
      <c r="C33" s="15" t="s">
        <v>108</v>
      </c>
      <c r="D33" s="11"/>
      <c r="E33" s="82"/>
      <c r="F33" s="12"/>
      <c r="G33" s="82"/>
      <c r="H33" s="83"/>
      <c r="I33" s="13">
        <f t="shared" ref="I33:I39" si="2">F33</f>
        <v>0</v>
      </c>
      <c r="J33" s="82"/>
      <c r="K33" s="12"/>
      <c r="L33" s="82"/>
      <c r="M33" s="83"/>
      <c r="N33" s="13">
        <f t="shared" ref="N33:N39" si="3">K33</f>
        <v>0</v>
      </c>
      <c r="O33" s="12">
        <f t="shared" si="0"/>
        <v>0</v>
      </c>
      <c r="P33" s="11"/>
    </row>
    <row r="34" spans="1:16" ht="15.5" customHeight="1" x14ac:dyDescent="0.3">
      <c r="A34" s="14"/>
      <c r="B34" s="3"/>
      <c r="C34" s="70" t="s">
        <v>107</v>
      </c>
      <c r="D34" s="11"/>
      <c r="E34" s="82"/>
      <c r="F34" s="36"/>
      <c r="G34" s="82"/>
      <c r="H34" s="83"/>
      <c r="I34" s="92">
        <f t="shared" si="2"/>
        <v>0</v>
      </c>
      <c r="J34" s="82"/>
      <c r="K34" s="36"/>
      <c r="L34" s="82"/>
      <c r="M34" s="83"/>
      <c r="N34" s="92">
        <f t="shared" si="3"/>
        <v>0</v>
      </c>
      <c r="O34" s="71">
        <f t="shared" si="0"/>
        <v>0</v>
      </c>
      <c r="P34" s="11"/>
    </row>
    <row r="35" spans="1:16" ht="15.5" customHeight="1" x14ac:dyDescent="0.3">
      <c r="A35" s="14"/>
      <c r="B35" s="3"/>
      <c r="C35" s="15" t="s">
        <v>108</v>
      </c>
      <c r="D35" s="11"/>
      <c r="E35" s="82"/>
      <c r="F35" s="12"/>
      <c r="G35" s="82"/>
      <c r="H35" s="83"/>
      <c r="I35" s="13">
        <f t="shared" si="2"/>
        <v>0</v>
      </c>
      <c r="J35" s="82"/>
      <c r="K35" s="36"/>
      <c r="L35" s="82"/>
      <c r="M35" s="83"/>
      <c r="N35" s="13">
        <f t="shared" si="3"/>
        <v>0</v>
      </c>
      <c r="O35" s="12">
        <f t="shared" si="0"/>
        <v>0</v>
      </c>
      <c r="P35" s="11"/>
    </row>
    <row r="36" spans="1:16" ht="15.5" customHeight="1" x14ac:dyDescent="0.3">
      <c r="A36" s="211" t="s">
        <v>26</v>
      </c>
      <c r="B36" s="212"/>
      <c r="C36" s="213"/>
      <c r="D36" s="11"/>
      <c r="E36" s="82"/>
      <c r="F36" s="36"/>
      <c r="G36" s="82"/>
      <c r="H36" s="83"/>
      <c r="I36" s="92">
        <f t="shared" si="2"/>
        <v>0</v>
      </c>
      <c r="J36" s="82"/>
      <c r="K36" s="36"/>
      <c r="L36" s="82"/>
      <c r="M36" s="83"/>
      <c r="N36" s="92">
        <f t="shared" si="3"/>
        <v>0</v>
      </c>
      <c r="O36" s="71">
        <f t="shared" si="0"/>
        <v>0</v>
      </c>
      <c r="P36" s="11"/>
    </row>
    <row r="37" spans="1:16" ht="15.5" customHeight="1" x14ac:dyDescent="0.3">
      <c r="A37" s="14"/>
      <c r="B37" s="3"/>
      <c r="C37" s="15" t="s">
        <v>108</v>
      </c>
      <c r="D37" s="11"/>
      <c r="E37" s="82"/>
      <c r="F37" s="12"/>
      <c r="G37" s="82"/>
      <c r="H37" s="83"/>
      <c r="I37" s="13">
        <f t="shared" si="2"/>
        <v>0</v>
      </c>
      <c r="J37" s="82"/>
      <c r="K37" s="12"/>
      <c r="L37" s="82"/>
      <c r="M37" s="83"/>
      <c r="N37" s="13">
        <f t="shared" si="3"/>
        <v>0</v>
      </c>
      <c r="O37" s="12">
        <f t="shared" si="0"/>
        <v>0</v>
      </c>
      <c r="P37" s="11"/>
    </row>
    <row r="38" spans="1:16" ht="15.5" customHeight="1" x14ac:dyDescent="0.3">
      <c r="A38" s="211" t="s">
        <v>27</v>
      </c>
      <c r="B38" s="212"/>
      <c r="C38" s="213"/>
      <c r="D38" s="11"/>
      <c r="E38" s="82"/>
      <c r="F38" s="36"/>
      <c r="G38" s="82"/>
      <c r="H38" s="83"/>
      <c r="I38" s="92">
        <f t="shared" si="2"/>
        <v>0</v>
      </c>
      <c r="J38" s="82"/>
      <c r="K38" s="36"/>
      <c r="L38" s="82"/>
      <c r="M38" s="83"/>
      <c r="N38" s="92">
        <f t="shared" si="3"/>
        <v>0</v>
      </c>
      <c r="O38" s="71">
        <f t="shared" si="0"/>
        <v>0</v>
      </c>
      <c r="P38" s="11"/>
    </row>
    <row r="39" spans="1:16" ht="15.5" customHeight="1" x14ac:dyDescent="0.3">
      <c r="A39" s="14"/>
      <c r="B39" s="3"/>
      <c r="C39" s="15" t="s">
        <v>108</v>
      </c>
      <c r="D39" s="11"/>
      <c r="E39" s="82"/>
      <c r="F39" s="12"/>
      <c r="G39" s="82"/>
      <c r="H39" s="83"/>
      <c r="I39" s="13">
        <f t="shared" si="2"/>
        <v>0</v>
      </c>
      <c r="J39" s="82"/>
      <c r="K39" s="12"/>
      <c r="L39" s="82"/>
      <c r="M39" s="83"/>
      <c r="N39" s="13">
        <f t="shared" si="3"/>
        <v>0</v>
      </c>
      <c r="O39" s="12">
        <f t="shared" si="0"/>
        <v>0</v>
      </c>
      <c r="P39" s="11"/>
    </row>
    <row r="40" spans="1:16" ht="15.5" customHeight="1" x14ac:dyDescent="0.3">
      <c r="A40" s="14"/>
      <c r="B40" s="3"/>
      <c r="C40" s="15"/>
      <c r="D40" s="11"/>
      <c r="E40" s="12"/>
      <c r="F40" s="12"/>
      <c r="G40" s="12"/>
      <c r="H40" s="26"/>
      <c r="I40" s="13"/>
      <c r="J40" s="12"/>
      <c r="K40" s="12"/>
      <c r="L40" s="12"/>
      <c r="M40" s="26"/>
      <c r="N40" s="13"/>
      <c r="O40" s="71"/>
      <c r="P40" s="11"/>
    </row>
    <row r="41" spans="1:16" ht="25.25" customHeight="1" x14ac:dyDescent="0.3">
      <c r="A41" s="243" t="s">
        <v>46</v>
      </c>
      <c r="B41" s="244"/>
      <c r="C41" s="245"/>
      <c r="D41" s="16"/>
      <c r="E41" s="82"/>
      <c r="F41" s="82"/>
      <c r="G41" s="82"/>
      <c r="H41" s="83"/>
      <c r="I41" s="86"/>
      <c r="J41" s="82"/>
      <c r="K41" s="82"/>
      <c r="L41" s="82"/>
      <c r="M41" s="83"/>
      <c r="N41" s="86"/>
      <c r="O41" s="103"/>
      <c r="P41" s="86"/>
    </row>
    <row r="42" spans="1:16" ht="15.5" customHeight="1" x14ac:dyDescent="0.3">
      <c r="A42" s="304" t="s">
        <v>102</v>
      </c>
      <c r="B42" s="305"/>
      <c r="C42" s="306"/>
      <c r="D42" s="11"/>
      <c r="E42" s="82"/>
      <c r="F42" s="36"/>
      <c r="G42" s="82"/>
      <c r="H42" s="83"/>
      <c r="I42" s="92">
        <f>F42</f>
        <v>0</v>
      </c>
      <c r="J42" s="82"/>
      <c r="K42" s="94"/>
      <c r="L42" s="82"/>
      <c r="M42" s="83"/>
      <c r="N42" s="96">
        <f>K42</f>
        <v>0</v>
      </c>
      <c r="O42" s="71">
        <f t="shared" si="0"/>
        <v>0</v>
      </c>
      <c r="P42" s="11"/>
    </row>
    <row r="43" spans="1:16" ht="15.5" customHeight="1" x14ac:dyDescent="0.3">
      <c r="A43" s="46"/>
      <c r="B43" s="47"/>
      <c r="C43" s="15" t="s">
        <v>108</v>
      </c>
      <c r="D43" s="11"/>
      <c r="E43" s="82"/>
      <c r="F43" s="12"/>
      <c r="G43" s="82"/>
      <c r="H43" s="83"/>
      <c r="I43" s="13">
        <f t="shared" ref="I43:I53" si="4">F43</f>
        <v>0</v>
      </c>
      <c r="J43" s="82"/>
      <c r="K43" s="95"/>
      <c r="L43" s="82"/>
      <c r="M43" s="83"/>
      <c r="N43" s="13">
        <f t="shared" ref="N43:N53" si="5">K43</f>
        <v>0</v>
      </c>
      <c r="O43" s="12">
        <f t="shared" si="0"/>
        <v>0</v>
      </c>
      <c r="P43" s="11"/>
    </row>
    <row r="44" spans="1:16" ht="15.5" customHeight="1" x14ac:dyDescent="0.3">
      <c r="A44" s="304" t="s">
        <v>103</v>
      </c>
      <c r="B44" s="305"/>
      <c r="C44" s="306"/>
      <c r="D44" s="11"/>
      <c r="E44" s="82"/>
      <c r="F44" s="36"/>
      <c r="G44" s="82"/>
      <c r="H44" s="83"/>
      <c r="I44" s="92">
        <f t="shared" si="4"/>
        <v>0</v>
      </c>
      <c r="J44" s="82"/>
      <c r="K44" s="94"/>
      <c r="L44" s="82"/>
      <c r="M44" s="83"/>
      <c r="N44" s="96">
        <f t="shared" si="5"/>
        <v>0</v>
      </c>
      <c r="O44" s="71">
        <f t="shared" si="0"/>
        <v>0</v>
      </c>
      <c r="P44" s="11"/>
    </row>
    <row r="45" spans="1:16" ht="15.5" customHeight="1" x14ac:dyDescent="0.3">
      <c r="A45" s="46"/>
      <c r="B45" s="47"/>
      <c r="C45" s="15" t="s">
        <v>108</v>
      </c>
      <c r="D45" s="11"/>
      <c r="E45" s="82"/>
      <c r="F45" s="12"/>
      <c r="G45" s="82"/>
      <c r="H45" s="83"/>
      <c r="I45" s="13">
        <f t="shared" si="4"/>
        <v>0</v>
      </c>
      <c r="J45" s="82"/>
      <c r="K45" s="95"/>
      <c r="L45" s="82"/>
      <c r="M45" s="83"/>
      <c r="N45" s="13">
        <f t="shared" si="5"/>
        <v>0</v>
      </c>
      <c r="O45" s="12">
        <f t="shared" si="0"/>
        <v>0</v>
      </c>
      <c r="P45" s="11"/>
    </row>
    <row r="46" spans="1:16" ht="15.5" customHeight="1" x14ac:dyDescent="0.3">
      <c r="A46" s="304" t="s">
        <v>104</v>
      </c>
      <c r="B46" s="305"/>
      <c r="C46" s="306"/>
      <c r="D46" s="11"/>
      <c r="E46" s="82"/>
      <c r="F46" s="94"/>
      <c r="G46" s="82"/>
      <c r="H46" s="83"/>
      <c r="I46" s="92">
        <f t="shared" si="4"/>
        <v>0</v>
      </c>
      <c r="J46" s="82"/>
      <c r="K46" s="94"/>
      <c r="L46" s="82"/>
      <c r="M46" s="83"/>
      <c r="N46" s="96">
        <f t="shared" si="5"/>
        <v>0</v>
      </c>
      <c r="O46" s="71">
        <f t="shared" si="0"/>
        <v>0</v>
      </c>
      <c r="P46" s="11"/>
    </row>
    <row r="47" spans="1:16" ht="15.5" customHeight="1" x14ac:dyDescent="0.3">
      <c r="A47" s="46"/>
      <c r="B47" s="47"/>
      <c r="C47" s="15" t="s">
        <v>108</v>
      </c>
      <c r="D47" s="11"/>
      <c r="E47" s="82"/>
      <c r="F47" s="12"/>
      <c r="G47" s="82"/>
      <c r="H47" s="83"/>
      <c r="I47" s="13">
        <f t="shared" si="4"/>
        <v>0</v>
      </c>
      <c r="J47" s="82"/>
      <c r="K47" s="95"/>
      <c r="L47" s="82"/>
      <c r="M47" s="83"/>
      <c r="N47" s="13">
        <f t="shared" si="5"/>
        <v>0</v>
      </c>
      <c r="O47" s="12">
        <f t="shared" si="0"/>
        <v>0</v>
      </c>
      <c r="P47" s="11"/>
    </row>
    <row r="48" spans="1:16" ht="15.5" customHeight="1" x14ac:dyDescent="0.3">
      <c r="A48" s="304" t="s">
        <v>105</v>
      </c>
      <c r="B48" s="305"/>
      <c r="C48" s="306"/>
      <c r="D48" s="11"/>
      <c r="E48" s="82"/>
      <c r="F48" s="36"/>
      <c r="G48" s="82"/>
      <c r="H48" s="83"/>
      <c r="I48" s="92">
        <f t="shared" si="4"/>
        <v>0</v>
      </c>
      <c r="J48" s="82"/>
      <c r="K48" s="94"/>
      <c r="L48" s="82"/>
      <c r="M48" s="83"/>
      <c r="N48" s="96">
        <f t="shared" si="5"/>
        <v>0</v>
      </c>
      <c r="O48" s="71">
        <f t="shared" si="0"/>
        <v>0</v>
      </c>
      <c r="P48" s="11"/>
    </row>
    <row r="49" spans="1:16" ht="15.5" customHeight="1" x14ac:dyDescent="0.3">
      <c r="A49" s="46"/>
      <c r="B49" s="47"/>
      <c r="C49" s="15" t="s">
        <v>108</v>
      </c>
      <c r="D49" s="11"/>
      <c r="E49" s="82"/>
      <c r="F49" s="12"/>
      <c r="G49" s="82"/>
      <c r="H49" s="83"/>
      <c r="I49" s="13">
        <f t="shared" si="4"/>
        <v>0</v>
      </c>
      <c r="J49" s="82"/>
      <c r="K49" s="95"/>
      <c r="L49" s="82"/>
      <c r="M49" s="83"/>
      <c r="N49" s="13">
        <f t="shared" si="5"/>
        <v>0</v>
      </c>
      <c r="O49" s="12">
        <f t="shared" si="0"/>
        <v>0</v>
      </c>
      <c r="P49" s="11"/>
    </row>
    <row r="50" spans="1:16" ht="15.5" customHeight="1" x14ac:dyDescent="0.3">
      <c r="A50" s="304" t="s">
        <v>106</v>
      </c>
      <c r="B50" s="305"/>
      <c r="C50" s="306"/>
      <c r="D50" s="11"/>
      <c r="E50" s="82"/>
      <c r="F50" s="36"/>
      <c r="G50" s="82"/>
      <c r="H50" s="83"/>
      <c r="I50" s="92">
        <f t="shared" si="4"/>
        <v>0</v>
      </c>
      <c r="J50" s="82"/>
      <c r="K50" s="94"/>
      <c r="L50" s="82"/>
      <c r="M50" s="83"/>
      <c r="N50" s="96">
        <f t="shared" si="5"/>
        <v>0</v>
      </c>
      <c r="O50" s="71">
        <f t="shared" si="0"/>
        <v>0</v>
      </c>
      <c r="P50" s="11"/>
    </row>
    <row r="51" spans="1:16" ht="15.5" customHeight="1" x14ac:dyDescent="0.3">
      <c r="A51" s="46"/>
      <c r="B51" s="47"/>
      <c r="C51" s="15" t="s">
        <v>108</v>
      </c>
      <c r="D51" s="11"/>
      <c r="E51" s="82"/>
      <c r="F51" s="12"/>
      <c r="G51" s="82"/>
      <c r="H51" s="83"/>
      <c r="I51" s="13">
        <f t="shared" si="4"/>
        <v>0</v>
      </c>
      <c r="J51" s="82"/>
      <c r="K51" s="95"/>
      <c r="L51" s="82"/>
      <c r="M51" s="83"/>
      <c r="N51" s="13">
        <f t="shared" si="5"/>
        <v>0</v>
      </c>
      <c r="O51" s="12">
        <f t="shared" si="0"/>
        <v>0</v>
      </c>
      <c r="P51" s="11"/>
    </row>
    <row r="52" spans="1:16" ht="15.5" customHeight="1" x14ac:dyDescent="0.3">
      <c r="A52" s="304" t="s">
        <v>111</v>
      </c>
      <c r="B52" s="305"/>
      <c r="C52" s="306"/>
      <c r="D52" s="11"/>
      <c r="E52" s="82"/>
      <c r="F52" s="94"/>
      <c r="G52" s="82"/>
      <c r="H52" s="83"/>
      <c r="I52" s="92">
        <f t="shared" si="4"/>
        <v>0</v>
      </c>
      <c r="J52" s="82"/>
      <c r="K52" s="94"/>
      <c r="L52" s="82"/>
      <c r="M52" s="83"/>
      <c r="N52" s="96">
        <f t="shared" si="5"/>
        <v>0</v>
      </c>
      <c r="O52" s="71">
        <f t="shared" si="0"/>
        <v>0</v>
      </c>
      <c r="P52" s="11"/>
    </row>
    <row r="53" spans="1:16" ht="15.5" customHeight="1" x14ac:dyDescent="0.3">
      <c r="A53" s="37"/>
      <c r="B53" s="38"/>
      <c r="C53" s="15" t="s">
        <v>108</v>
      </c>
      <c r="D53" s="11"/>
      <c r="E53" s="82"/>
      <c r="F53" s="12"/>
      <c r="G53" s="82"/>
      <c r="H53" s="83"/>
      <c r="I53" s="13">
        <f t="shared" si="4"/>
        <v>0</v>
      </c>
      <c r="J53" s="82"/>
      <c r="K53" s="95"/>
      <c r="L53" s="82"/>
      <c r="M53" s="83"/>
      <c r="N53" s="13">
        <f t="shared" si="5"/>
        <v>0</v>
      </c>
      <c r="O53" s="12">
        <f t="shared" si="0"/>
        <v>0</v>
      </c>
      <c r="P53" s="11"/>
    </row>
    <row r="54" spans="1:16" ht="15.5" customHeight="1" x14ac:dyDescent="0.3">
      <c r="A54" s="37"/>
      <c r="B54" s="38"/>
      <c r="C54" s="39"/>
      <c r="D54" s="11"/>
      <c r="E54" s="12"/>
      <c r="F54" s="12"/>
      <c r="G54" s="12"/>
      <c r="H54" s="26"/>
      <c r="I54" s="13"/>
      <c r="J54" s="12"/>
      <c r="K54" s="12"/>
      <c r="L54" s="12"/>
      <c r="M54" s="26"/>
      <c r="N54" s="13"/>
      <c r="O54" s="71"/>
      <c r="P54" s="11"/>
    </row>
    <row r="55" spans="1:16" ht="25.75" customHeight="1" x14ac:dyDescent="0.3">
      <c r="A55" s="243" t="s">
        <v>52</v>
      </c>
      <c r="B55" s="244"/>
      <c r="C55" s="245"/>
      <c r="D55" s="16"/>
      <c r="E55" s="82"/>
      <c r="F55" s="82"/>
      <c r="G55" s="82"/>
      <c r="H55" s="83"/>
      <c r="I55" s="86"/>
      <c r="J55" s="82"/>
      <c r="K55" s="82"/>
      <c r="L55" s="82"/>
      <c r="M55" s="83"/>
      <c r="N55" s="86"/>
      <c r="O55" s="103"/>
      <c r="P55" s="86"/>
    </row>
    <row r="56" spans="1:16" ht="15.5" customHeight="1" x14ac:dyDescent="0.3">
      <c r="A56" s="246" t="s">
        <v>56</v>
      </c>
      <c r="B56" s="247"/>
      <c r="C56" s="248"/>
      <c r="D56" s="11"/>
      <c r="E56" s="82"/>
      <c r="F56" s="82"/>
      <c r="G56" s="82"/>
      <c r="H56" s="31"/>
      <c r="I56" s="92">
        <f>H56</f>
        <v>0</v>
      </c>
      <c r="J56" s="82"/>
      <c r="K56" s="82"/>
      <c r="L56" s="82"/>
      <c r="M56" s="31"/>
      <c r="N56" s="92">
        <f>M56</f>
        <v>0</v>
      </c>
      <c r="O56" s="71">
        <f t="shared" si="0"/>
        <v>0</v>
      </c>
      <c r="P56" s="11"/>
    </row>
    <row r="57" spans="1:16" ht="15.5" customHeight="1" x14ac:dyDescent="0.3">
      <c r="A57" s="40"/>
      <c r="B57" s="41"/>
      <c r="C57" s="15" t="s">
        <v>108</v>
      </c>
      <c r="D57" s="11"/>
      <c r="E57" s="82"/>
      <c r="F57" s="82"/>
      <c r="G57" s="82"/>
      <c r="H57" s="26"/>
      <c r="I57" s="13">
        <f t="shared" ref="I57:I61" si="6">H57</f>
        <v>0</v>
      </c>
      <c r="J57" s="82"/>
      <c r="K57" s="82"/>
      <c r="L57" s="82"/>
      <c r="M57" s="26"/>
      <c r="N57" s="13">
        <f t="shared" ref="N57:N61" si="7">M57</f>
        <v>0</v>
      </c>
      <c r="O57" s="12">
        <f t="shared" si="0"/>
        <v>0</v>
      </c>
      <c r="P57" s="11"/>
    </row>
    <row r="58" spans="1:16" ht="15.5" customHeight="1" x14ac:dyDescent="0.3">
      <c r="A58" s="246" t="s">
        <v>57</v>
      </c>
      <c r="B58" s="247"/>
      <c r="C58" s="248"/>
      <c r="D58" s="11"/>
      <c r="E58" s="82"/>
      <c r="F58" s="82"/>
      <c r="G58" s="82"/>
      <c r="H58" s="31"/>
      <c r="I58" s="92">
        <f t="shared" si="6"/>
        <v>0</v>
      </c>
      <c r="J58" s="82"/>
      <c r="K58" s="82"/>
      <c r="L58" s="82"/>
      <c r="M58" s="31"/>
      <c r="N58" s="92">
        <f t="shared" si="7"/>
        <v>0</v>
      </c>
      <c r="O58" s="71">
        <f t="shared" si="0"/>
        <v>0</v>
      </c>
      <c r="P58" s="11"/>
    </row>
    <row r="59" spans="1:16" ht="15.5" customHeight="1" x14ac:dyDescent="0.3">
      <c r="A59" s="40"/>
      <c r="B59" s="41"/>
      <c r="C59" s="15" t="s">
        <v>108</v>
      </c>
      <c r="D59" s="11"/>
      <c r="E59" s="82"/>
      <c r="F59" s="82"/>
      <c r="G59" s="82"/>
      <c r="H59" s="26"/>
      <c r="I59" s="13">
        <f t="shared" si="6"/>
        <v>0</v>
      </c>
      <c r="J59" s="82"/>
      <c r="K59" s="82"/>
      <c r="L59" s="82"/>
      <c r="M59" s="26"/>
      <c r="N59" s="13">
        <f t="shared" si="7"/>
        <v>0</v>
      </c>
      <c r="O59" s="12">
        <f t="shared" si="0"/>
        <v>0</v>
      </c>
      <c r="P59" s="11"/>
    </row>
    <row r="60" spans="1:16" ht="15.5" customHeight="1" x14ac:dyDescent="0.3">
      <c r="A60" s="246" t="s">
        <v>58</v>
      </c>
      <c r="B60" s="247"/>
      <c r="C60" s="248"/>
      <c r="D60" s="11"/>
      <c r="E60" s="82"/>
      <c r="F60" s="82"/>
      <c r="G60" s="82"/>
      <c r="H60" s="31"/>
      <c r="I60" s="92">
        <f t="shared" si="6"/>
        <v>0</v>
      </c>
      <c r="J60" s="82"/>
      <c r="K60" s="82"/>
      <c r="L60" s="82"/>
      <c r="M60" s="31"/>
      <c r="N60" s="92">
        <f t="shared" si="7"/>
        <v>0</v>
      </c>
      <c r="O60" s="71">
        <f t="shared" si="0"/>
        <v>0</v>
      </c>
      <c r="P60" s="11"/>
    </row>
    <row r="61" spans="1:16" ht="15.5" customHeight="1" x14ac:dyDescent="0.3">
      <c r="A61" s="40"/>
      <c r="B61" s="41"/>
      <c r="C61" s="15" t="s">
        <v>108</v>
      </c>
      <c r="D61" s="11"/>
      <c r="E61" s="82"/>
      <c r="F61" s="82"/>
      <c r="G61" s="82"/>
      <c r="H61" s="26"/>
      <c r="I61" s="13">
        <f t="shared" si="6"/>
        <v>0</v>
      </c>
      <c r="J61" s="82"/>
      <c r="K61" s="82"/>
      <c r="L61" s="82"/>
      <c r="M61" s="26"/>
      <c r="N61" s="13">
        <f t="shared" si="7"/>
        <v>0</v>
      </c>
      <c r="O61" s="12">
        <f t="shared" si="0"/>
        <v>0</v>
      </c>
      <c r="P61" s="11"/>
    </row>
    <row r="62" spans="1:16" ht="15.5" customHeight="1" x14ac:dyDescent="0.3">
      <c r="A62" s="214"/>
      <c r="B62" s="215"/>
      <c r="C62" s="216"/>
      <c r="D62" s="11"/>
      <c r="E62" s="12"/>
      <c r="F62" s="12"/>
      <c r="G62" s="12"/>
      <c r="H62" s="26"/>
      <c r="I62" s="13"/>
      <c r="J62" s="12"/>
      <c r="K62" s="12"/>
      <c r="L62" s="12"/>
      <c r="M62" s="26"/>
      <c r="N62" s="13"/>
      <c r="O62" s="71"/>
      <c r="P62" s="11"/>
    </row>
    <row r="63" spans="1:16" x14ac:dyDescent="0.3">
      <c r="A63" s="224" t="s">
        <v>59</v>
      </c>
      <c r="B63" s="225"/>
      <c r="C63" s="226"/>
      <c r="D63" s="11"/>
      <c r="E63" s="82"/>
      <c r="F63" s="82"/>
      <c r="G63" s="82"/>
      <c r="H63" s="83"/>
      <c r="I63" s="93"/>
      <c r="J63" s="82"/>
      <c r="K63" s="82"/>
      <c r="L63" s="82"/>
      <c r="M63" s="83"/>
      <c r="N63" s="93"/>
      <c r="O63" s="103"/>
      <c r="P63" s="87"/>
    </row>
    <row r="64" spans="1:16" x14ac:dyDescent="0.3">
      <c r="A64" s="295" t="s">
        <v>67</v>
      </c>
      <c r="B64" s="296"/>
      <c r="C64" s="297"/>
      <c r="D64" s="11"/>
      <c r="E64" s="82"/>
      <c r="F64" s="82"/>
      <c r="G64" s="82"/>
      <c r="H64" s="83"/>
      <c r="I64" s="93"/>
      <c r="J64" s="82"/>
      <c r="K64" s="82"/>
      <c r="L64" s="82"/>
      <c r="M64" s="83"/>
      <c r="N64" s="93"/>
      <c r="O64" s="103"/>
      <c r="P64" s="87"/>
    </row>
    <row r="65" spans="1:16" ht="15.5" customHeight="1" x14ac:dyDescent="0.3">
      <c r="A65" s="308" t="s">
        <v>68</v>
      </c>
      <c r="B65" s="309"/>
      <c r="C65" s="310"/>
      <c r="D65" s="11"/>
      <c r="E65" s="82"/>
      <c r="F65" s="82"/>
      <c r="G65" s="12"/>
      <c r="H65" s="26"/>
      <c r="I65" s="13">
        <f>SUM(G65:H65)</f>
        <v>0</v>
      </c>
      <c r="J65" s="12">
        <v>0</v>
      </c>
      <c r="K65" s="12"/>
      <c r="L65" s="12"/>
      <c r="M65" s="26"/>
      <c r="N65" s="13">
        <f>SUM(L65:M65)</f>
        <v>0</v>
      </c>
      <c r="O65" s="12">
        <f t="shared" si="0"/>
        <v>0</v>
      </c>
      <c r="P65" s="11"/>
    </row>
    <row r="66" spans="1:16" ht="15.5" customHeight="1" x14ac:dyDescent="0.3">
      <c r="A66" s="308" t="s">
        <v>69</v>
      </c>
      <c r="B66" s="309"/>
      <c r="C66" s="310"/>
      <c r="D66" s="11"/>
      <c r="E66" s="85"/>
      <c r="F66" s="85"/>
      <c r="G66" s="56"/>
      <c r="H66" s="60"/>
      <c r="I66" s="13">
        <f>SUM(G66:H66)</f>
        <v>0</v>
      </c>
      <c r="J66" s="12">
        <v>18</v>
      </c>
      <c r="K66" s="56"/>
      <c r="L66" s="56"/>
      <c r="M66" s="60"/>
      <c r="N66" s="13">
        <f>SUM(L66:M66)</f>
        <v>0</v>
      </c>
      <c r="O66" s="12">
        <f t="shared" si="0"/>
        <v>0</v>
      </c>
      <c r="P66" s="11" t="s">
        <v>214</v>
      </c>
    </row>
    <row r="67" spans="1:16" ht="27.65" customHeight="1" x14ac:dyDescent="0.3">
      <c r="A67" s="311" t="s">
        <v>66</v>
      </c>
      <c r="B67" s="312"/>
      <c r="C67" s="313"/>
      <c r="D67" s="16"/>
      <c r="E67" s="12"/>
      <c r="F67" s="61"/>
      <c r="G67" s="61"/>
      <c r="H67" s="63"/>
      <c r="I67" s="61">
        <f>SUM(E67:H67)</f>
        <v>0</v>
      </c>
      <c r="J67" s="12" t="s">
        <v>170</v>
      </c>
      <c r="K67" s="61"/>
      <c r="L67" s="61"/>
      <c r="M67" s="63"/>
      <c r="N67" s="61">
        <f>SUM(J67:M67)</f>
        <v>0</v>
      </c>
      <c r="O67" s="12">
        <f t="shared" si="0"/>
        <v>0</v>
      </c>
      <c r="P67" s="16"/>
    </row>
    <row r="68" spans="1:16" ht="15.5" customHeight="1" x14ac:dyDescent="0.3">
      <c r="A68" s="43"/>
      <c r="B68" s="44"/>
      <c r="C68" s="45"/>
      <c r="D68" s="16"/>
      <c r="E68" s="12"/>
      <c r="F68" s="12"/>
      <c r="G68" s="12"/>
      <c r="H68" s="26"/>
      <c r="I68" s="13"/>
      <c r="J68" s="12"/>
      <c r="K68" s="12"/>
      <c r="L68" s="12"/>
      <c r="M68" s="26"/>
      <c r="N68" s="13"/>
      <c r="O68" s="71"/>
      <c r="P68" s="16"/>
    </row>
    <row r="69" spans="1:16" x14ac:dyDescent="0.3">
      <c r="A69" s="295" t="s">
        <v>70</v>
      </c>
      <c r="B69" s="296"/>
      <c r="C69" s="297"/>
      <c r="D69" s="11"/>
      <c r="E69" s="82"/>
      <c r="F69" s="82"/>
      <c r="G69" s="82"/>
      <c r="H69" s="83"/>
      <c r="I69" s="93"/>
      <c r="J69" s="82"/>
      <c r="K69" s="82"/>
      <c r="L69" s="82"/>
      <c r="M69" s="83"/>
      <c r="N69" s="93"/>
      <c r="O69" s="103"/>
      <c r="P69" s="87"/>
    </row>
    <row r="70" spans="1:16" ht="15.5" customHeight="1" x14ac:dyDescent="0.3">
      <c r="A70" s="308" t="s">
        <v>74</v>
      </c>
      <c r="B70" s="309"/>
      <c r="C70" s="310"/>
      <c r="D70" s="11"/>
      <c r="E70" s="61"/>
      <c r="F70" s="61"/>
      <c r="G70" s="61"/>
      <c r="H70" s="61"/>
      <c r="I70" s="62">
        <f>SUM(E70:H70)</f>
        <v>0</v>
      </c>
      <c r="J70" s="61" t="s">
        <v>170</v>
      </c>
      <c r="K70" s="61"/>
      <c r="L70" s="61"/>
      <c r="M70" s="61"/>
      <c r="N70" s="62">
        <f>SUM(J70:M70)</f>
        <v>0</v>
      </c>
      <c r="O70" s="12">
        <f t="shared" si="0"/>
        <v>0</v>
      </c>
      <c r="P70" s="11"/>
    </row>
    <row r="71" spans="1:16" ht="15.5" customHeight="1" x14ac:dyDescent="0.3">
      <c r="A71" s="308" t="s">
        <v>71</v>
      </c>
      <c r="B71" s="309"/>
      <c r="C71" s="310"/>
      <c r="D71" s="11"/>
      <c r="E71" s="61"/>
      <c r="F71" s="61"/>
      <c r="G71" s="61"/>
      <c r="H71" s="63"/>
      <c r="I71" s="62">
        <f t="shared" ref="I71:I72" si="8">SUM(E71:H71)</f>
        <v>0</v>
      </c>
      <c r="J71" s="61" t="s">
        <v>170</v>
      </c>
      <c r="K71" s="61"/>
      <c r="L71" s="61"/>
      <c r="M71" s="63"/>
      <c r="N71" s="62">
        <f t="shared" ref="N71:N72" si="9">SUM(J71:M71)</f>
        <v>0</v>
      </c>
      <c r="O71" s="12">
        <f t="shared" si="0"/>
        <v>0</v>
      </c>
      <c r="P71" s="11"/>
    </row>
    <row r="72" spans="1:16" ht="15.5" customHeight="1" x14ac:dyDescent="0.3">
      <c r="A72" s="308" t="s">
        <v>72</v>
      </c>
      <c r="B72" s="309"/>
      <c r="C72" s="310"/>
      <c r="D72" s="11"/>
      <c r="E72" s="12"/>
      <c r="F72" s="12"/>
      <c r="G72" s="12"/>
      <c r="H72" s="26"/>
      <c r="I72" s="62">
        <f t="shared" si="8"/>
        <v>0</v>
      </c>
      <c r="J72" s="12" t="s">
        <v>170</v>
      </c>
      <c r="K72" s="12"/>
      <c r="L72" s="12"/>
      <c r="M72" s="26"/>
      <c r="N72" s="62">
        <f t="shared" si="9"/>
        <v>0</v>
      </c>
      <c r="O72" s="12">
        <f t="shared" si="0"/>
        <v>0</v>
      </c>
      <c r="P72" s="11"/>
    </row>
    <row r="73" spans="1:16" ht="15.5" customHeight="1" x14ac:dyDescent="0.3">
      <c r="A73" s="214"/>
      <c r="B73" s="215"/>
      <c r="C73" s="216"/>
      <c r="D73" s="11"/>
      <c r="E73" s="12"/>
      <c r="F73" s="12"/>
      <c r="G73" s="12"/>
      <c r="H73" s="26"/>
      <c r="I73" s="62"/>
      <c r="J73" s="12"/>
      <c r="K73" s="12"/>
      <c r="L73" s="12"/>
      <c r="M73" s="26"/>
      <c r="N73" s="62"/>
      <c r="O73" s="12"/>
      <c r="P73" s="11"/>
    </row>
    <row r="74" spans="1:16" x14ac:dyDescent="0.3">
      <c r="A74" s="295" t="s">
        <v>73</v>
      </c>
      <c r="B74" s="296"/>
      <c r="C74" s="297"/>
      <c r="D74" s="11"/>
      <c r="E74" s="12"/>
      <c r="F74" s="12"/>
      <c r="G74" s="12"/>
      <c r="H74" s="26"/>
      <c r="I74" s="62">
        <f>SUM(E74:H74)</f>
        <v>0</v>
      </c>
      <c r="J74" s="12" t="s">
        <v>170</v>
      </c>
      <c r="K74" s="12"/>
      <c r="L74" s="12"/>
      <c r="M74" s="26"/>
      <c r="N74" s="62">
        <f>SUM(J74:M74)</f>
        <v>0</v>
      </c>
      <c r="O74" s="12">
        <f t="shared" si="0"/>
        <v>0</v>
      </c>
      <c r="P74" s="11"/>
    </row>
    <row r="75" spans="1:16" ht="15.5" customHeight="1" x14ac:dyDescent="0.3">
      <c r="A75" s="214"/>
      <c r="B75" s="215"/>
      <c r="C75" s="216"/>
      <c r="D75" s="11"/>
      <c r="E75" s="12"/>
      <c r="F75" s="12"/>
      <c r="G75" s="12"/>
      <c r="H75" s="26"/>
      <c r="I75" s="13"/>
      <c r="J75" s="12"/>
      <c r="K75" s="12"/>
      <c r="L75" s="12"/>
      <c r="M75" s="26"/>
      <c r="N75" s="13"/>
      <c r="O75" s="104"/>
      <c r="P75" s="11"/>
    </row>
    <row r="76" spans="1:16" x14ac:dyDescent="0.3">
      <c r="A76" s="208" t="s">
        <v>42</v>
      </c>
      <c r="B76" s="209"/>
      <c r="C76" s="210"/>
      <c r="D76" s="19">
        <v>310300000000000</v>
      </c>
      <c r="E76" s="34"/>
      <c r="F76" s="34"/>
      <c r="G76" s="34"/>
      <c r="H76" s="29"/>
      <c r="I76" s="51"/>
      <c r="J76" s="34"/>
      <c r="K76" s="34"/>
      <c r="L76" s="34"/>
      <c r="M76" s="29"/>
      <c r="N76" s="51"/>
      <c r="O76" s="71"/>
      <c r="P76" s="9"/>
    </row>
    <row r="77" spans="1:16" x14ac:dyDescent="0.3">
      <c r="A77" s="211" t="s">
        <v>23</v>
      </c>
      <c r="B77" s="212"/>
      <c r="C77" s="213"/>
      <c r="D77" s="11"/>
      <c r="E77" s="82"/>
      <c r="F77" s="82"/>
      <c r="G77" s="82"/>
      <c r="H77" s="83"/>
      <c r="I77" s="93"/>
      <c r="J77" s="82"/>
      <c r="K77" s="82"/>
      <c r="L77" s="82"/>
      <c r="M77" s="83"/>
      <c r="N77" s="93"/>
      <c r="O77" s="103"/>
      <c r="P77" s="87"/>
    </row>
    <row r="78" spans="1:16" ht="12.65" customHeight="1" x14ac:dyDescent="0.3">
      <c r="A78" s="243" t="s">
        <v>77</v>
      </c>
      <c r="B78" s="244"/>
      <c r="C78" s="245"/>
      <c r="D78" s="16"/>
      <c r="E78" s="82"/>
      <c r="F78" s="82"/>
      <c r="G78" s="82"/>
      <c r="H78" s="83"/>
      <c r="I78" s="86"/>
      <c r="J78" s="82"/>
      <c r="K78" s="82"/>
      <c r="L78" s="82"/>
      <c r="M78" s="83"/>
      <c r="N78" s="86"/>
      <c r="O78" s="103"/>
      <c r="P78" s="86"/>
    </row>
    <row r="79" spans="1:16" ht="15" customHeight="1" x14ac:dyDescent="0.3">
      <c r="A79" s="246" t="s">
        <v>78</v>
      </c>
      <c r="B79" s="247"/>
      <c r="C79" s="248"/>
      <c r="D79" s="11"/>
      <c r="E79" s="82"/>
      <c r="F79" s="82"/>
      <c r="G79" s="82"/>
      <c r="H79" s="65"/>
      <c r="I79" s="66">
        <f>H79</f>
        <v>0</v>
      </c>
      <c r="J79" s="82"/>
      <c r="K79" s="82"/>
      <c r="L79" s="82"/>
      <c r="M79" s="65"/>
      <c r="N79" s="66">
        <f>M79</f>
        <v>0</v>
      </c>
      <c r="O79" s="71">
        <f t="shared" si="0"/>
        <v>0</v>
      </c>
      <c r="P79" s="11"/>
    </row>
    <row r="80" spans="1:16" ht="15" customHeight="1" x14ac:dyDescent="0.3">
      <c r="A80" s="40"/>
      <c r="B80" s="41"/>
      <c r="C80" s="15" t="s">
        <v>108</v>
      </c>
      <c r="D80" s="11"/>
      <c r="E80" s="82"/>
      <c r="F80" s="82"/>
      <c r="G80" s="82"/>
      <c r="H80" s="63"/>
      <c r="I80" s="99">
        <f t="shared" ref="I80:I86" si="10">H80</f>
        <v>0</v>
      </c>
      <c r="J80" s="82"/>
      <c r="K80" s="82"/>
      <c r="L80" s="82"/>
      <c r="M80" s="63"/>
      <c r="N80" s="99">
        <f t="shared" ref="N80:N86" si="11">M80</f>
        <v>0</v>
      </c>
      <c r="O80" s="12">
        <f t="shared" si="0"/>
        <v>0</v>
      </c>
      <c r="P80" s="11"/>
    </row>
    <row r="81" spans="1:16" ht="30" customHeight="1" x14ac:dyDescent="0.3">
      <c r="A81" s="258" t="s">
        <v>76</v>
      </c>
      <c r="B81" s="259"/>
      <c r="C81" s="260"/>
      <c r="D81" s="11"/>
      <c r="E81" s="82"/>
      <c r="F81" s="82"/>
      <c r="G81" s="82"/>
      <c r="H81" s="65"/>
      <c r="I81" s="66">
        <f t="shared" si="10"/>
        <v>0</v>
      </c>
      <c r="J81" s="82"/>
      <c r="K81" s="82"/>
      <c r="L81" s="82"/>
      <c r="M81" s="65"/>
      <c r="N81" s="66">
        <f t="shared" si="11"/>
        <v>0</v>
      </c>
      <c r="O81" s="71">
        <f t="shared" si="0"/>
        <v>0</v>
      </c>
      <c r="P81" s="11"/>
    </row>
    <row r="82" spans="1:16" ht="15.5" customHeight="1" x14ac:dyDescent="0.3">
      <c r="A82" s="40"/>
      <c r="B82" s="41"/>
      <c r="C82" s="15" t="s">
        <v>108</v>
      </c>
      <c r="D82" s="11"/>
      <c r="E82" s="82"/>
      <c r="F82" s="82"/>
      <c r="G82" s="82"/>
      <c r="H82" s="63"/>
      <c r="I82" s="99">
        <f t="shared" si="10"/>
        <v>0</v>
      </c>
      <c r="J82" s="82"/>
      <c r="K82" s="82"/>
      <c r="L82" s="82"/>
      <c r="M82" s="63"/>
      <c r="N82" s="99">
        <f t="shared" si="11"/>
        <v>0</v>
      </c>
      <c r="O82" s="12">
        <f t="shared" si="0"/>
        <v>0</v>
      </c>
      <c r="P82" s="11"/>
    </row>
    <row r="83" spans="1:16" ht="15.5" customHeight="1" x14ac:dyDescent="0.3">
      <c r="A83" s="246" t="s">
        <v>79</v>
      </c>
      <c r="B83" s="247"/>
      <c r="C83" s="248"/>
      <c r="D83" s="11"/>
      <c r="E83" s="82"/>
      <c r="F83" s="82"/>
      <c r="G83" s="82"/>
      <c r="H83" s="65"/>
      <c r="I83" s="66">
        <f t="shared" si="10"/>
        <v>0</v>
      </c>
      <c r="J83" s="82"/>
      <c r="K83" s="82"/>
      <c r="L83" s="82"/>
      <c r="M83" s="65"/>
      <c r="N83" s="66">
        <f t="shared" si="11"/>
        <v>0</v>
      </c>
      <c r="O83" s="71">
        <f t="shared" si="0"/>
        <v>0</v>
      </c>
      <c r="P83" s="11"/>
    </row>
    <row r="84" spans="1:16" ht="15.5" customHeight="1" x14ac:dyDescent="0.3">
      <c r="A84" s="40"/>
      <c r="B84" s="41"/>
      <c r="C84" s="15" t="s">
        <v>108</v>
      </c>
      <c r="D84" s="11"/>
      <c r="E84" s="82"/>
      <c r="F84" s="82"/>
      <c r="G84" s="82"/>
      <c r="H84" s="63"/>
      <c r="I84" s="99">
        <f t="shared" si="10"/>
        <v>0</v>
      </c>
      <c r="J84" s="82"/>
      <c r="K84" s="82"/>
      <c r="L84" s="82"/>
      <c r="M84" s="63"/>
      <c r="N84" s="99">
        <f t="shared" si="11"/>
        <v>0</v>
      </c>
      <c r="O84" s="12">
        <f t="shared" si="0"/>
        <v>0</v>
      </c>
      <c r="P84" s="11"/>
    </row>
    <row r="85" spans="1:16" ht="15.5" customHeight="1" x14ac:dyDescent="0.3">
      <c r="A85" s="246" t="s">
        <v>81</v>
      </c>
      <c r="B85" s="247"/>
      <c r="C85" s="248"/>
      <c r="D85" s="11"/>
      <c r="E85" s="82"/>
      <c r="F85" s="82"/>
      <c r="G85" s="82"/>
      <c r="H85" s="65"/>
      <c r="I85" s="66">
        <f t="shared" si="10"/>
        <v>0</v>
      </c>
      <c r="J85" s="82"/>
      <c r="K85" s="82"/>
      <c r="L85" s="82"/>
      <c r="M85" s="65"/>
      <c r="N85" s="66">
        <f t="shared" si="11"/>
        <v>0</v>
      </c>
      <c r="O85" s="71">
        <f t="shared" ref="O85:O128" si="12">N85-I85</f>
        <v>0</v>
      </c>
      <c r="P85" s="11"/>
    </row>
    <row r="86" spans="1:16" ht="15.5" customHeight="1" x14ac:dyDescent="0.3">
      <c r="A86" s="37"/>
      <c r="B86" s="38"/>
      <c r="C86" s="15" t="s">
        <v>108</v>
      </c>
      <c r="D86" s="11"/>
      <c r="E86" s="82"/>
      <c r="F86" s="82"/>
      <c r="G86" s="82"/>
      <c r="H86" s="63"/>
      <c r="I86" s="99">
        <f t="shared" si="10"/>
        <v>0</v>
      </c>
      <c r="J86" s="82"/>
      <c r="K86" s="82"/>
      <c r="L86" s="82"/>
      <c r="M86" s="63"/>
      <c r="N86" s="99">
        <f t="shared" si="11"/>
        <v>0</v>
      </c>
      <c r="O86" s="12">
        <f t="shared" si="12"/>
        <v>0</v>
      </c>
      <c r="P86" s="11"/>
    </row>
    <row r="87" spans="1:16" ht="15.5" customHeight="1" x14ac:dyDescent="0.3">
      <c r="A87" s="214"/>
      <c r="B87" s="215"/>
      <c r="C87" s="216"/>
      <c r="D87" s="11"/>
      <c r="E87" s="12"/>
      <c r="F87" s="12"/>
      <c r="G87" s="12"/>
      <c r="H87" s="63"/>
      <c r="I87" s="13"/>
      <c r="J87" s="12"/>
      <c r="K87" s="12"/>
      <c r="L87" s="12"/>
      <c r="M87" s="63"/>
      <c r="N87" s="13"/>
      <c r="O87" s="71"/>
      <c r="P87" s="11"/>
    </row>
    <row r="88" spans="1:16" ht="13" customHeight="1" x14ac:dyDescent="0.3">
      <c r="A88" s="261" t="s">
        <v>80</v>
      </c>
      <c r="B88" s="262"/>
      <c r="C88" s="263"/>
      <c r="D88" s="16"/>
      <c r="E88" s="82"/>
      <c r="F88" s="82"/>
      <c r="G88" s="82"/>
      <c r="H88" s="64"/>
      <c r="I88" s="66">
        <f>H88</f>
        <v>0</v>
      </c>
      <c r="J88" s="82"/>
      <c r="K88" s="82"/>
      <c r="L88" s="82"/>
      <c r="M88" s="64"/>
      <c r="N88" s="66">
        <f>M88</f>
        <v>0</v>
      </c>
      <c r="O88" s="71">
        <f t="shared" si="12"/>
        <v>0</v>
      </c>
      <c r="P88" s="16"/>
    </row>
    <row r="89" spans="1:16" ht="15.5" customHeight="1" x14ac:dyDescent="0.3">
      <c r="A89" s="214"/>
      <c r="B89" s="215"/>
      <c r="C89" s="216"/>
      <c r="D89" s="11"/>
      <c r="E89" s="12"/>
      <c r="F89" s="12"/>
      <c r="G89" s="12"/>
      <c r="H89" s="26"/>
      <c r="I89" s="13"/>
      <c r="J89" s="12"/>
      <c r="K89" s="12"/>
      <c r="L89" s="12"/>
      <c r="M89" s="26"/>
      <c r="N89" s="13"/>
      <c r="O89" s="71"/>
      <c r="P89" s="11"/>
    </row>
    <row r="90" spans="1:16" x14ac:dyDescent="0.3">
      <c r="A90" s="264" t="s">
        <v>59</v>
      </c>
      <c r="B90" s="265"/>
      <c r="C90" s="266"/>
      <c r="D90" s="11"/>
      <c r="E90" s="82"/>
      <c r="F90" s="82"/>
      <c r="G90" s="82"/>
      <c r="H90" s="83"/>
      <c r="I90" s="93"/>
      <c r="J90" s="82"/>
      <c r="K90" s="82"/>
      <c r="L90" s="82"/>
      <c r="M90" s="83"/>
      <c r="N90" s="93"/>
      <c r="O90" s="103"/>
      <c r="P90" s="87"/>
    </row>
    <row r="91" spans="1:16" x14ac:dyDescent="0.3">
      <c r="A91" s="264" t="s">
        <v>82</v>
      </c>
      <c r="B91" s="265"/>
      <c r="C91" s="266"/>
      <c r="D91" s="11"/>
      <c r="E91" s="82"/>
      <c r="F91" s="82"/>
      <c r="G91" s="82"/>
      <c r="H91" s="83"/>
      <c r="I91" s="93"/>
      <c r="J91" s="82"/>
      <c r="K91" s="82"/>
      <c r="L91" s="82"/>
      <c r="M91" s="83"/>
      <c r="N91" s="93"/>
      <c r="O91" s="103"/>
      <c r="P91" s="87"/>
    </row>
    <row r="92" spans="1:16" ht="15.5" customHeight="1" x14ac:dyDescent="0.3">
      <c r="A92" s="246" t="s">
        <v>83</v>
      </c>
      <c r="B92" s="247"/>
      <c r="C92" s="248"/>
      <c r="D92" s="11"/>
      <c r="E92" s="82"/>
      <c r="F92" s="82"/>
      <c r="G92" s="26"/>
      <c r="H92" s="83"/>
      <c r="I92" s="13">
        <f>G92</f>
        <v>0</v>
      </c>
      <c r="J92" s="82"/>
      <c r="K92" s="82"/>
      <c r="L92" s="26"/>
      <c r="M92" s="83"/>
      <c r="N92" s="13">
        <f>L92</f>
        <v>0</v>
      </c>
      <c r="O92" s="12">
        <f t="shared" si="12"/>
        <v>0</v>
      </c>
      <c r="P92" s="11"/>
    </row>
    <row r="93" spans="1:16" ht="15.5" customHeight="1" x14ac:dyDescent="0.3">
      <c r="A93" s="246" t="s">
        <v>84</v>
      </c>
      <c r="B93" s="247"/>
      <c r="C93" s="248"/>
      <c r="D93" s="11"/>
      <c r="E93" s="82"/>
      <c r="F93" s="82"/>
      <c r="G93" s="26"/>
      <c r="H93" s="83"/>
      <c r="I93" s="13">
        <f t="shared" ref="I93:I96" si="13">G93</f>
        <v>0</v>
      </c>
      <c r="J93" s="82"/>
      <c r="K93" s="82"/>
      <c r="L93" s="26"/>
      <c r="M93" s="83"/>
      <c r="N93" s="13">
        <f t="shared" ref="N93:N96" si="14">L93</f>
        <v>0</v>
      </c>
      <c r="O93" s="12">
        <f t="shared" si="12"/>
        <v>0</v>
      </c>
      <c r="P93" s="11"/>
    </row>
    <row r="94" spans="1:16" ht="15.5" customHeight="1" x14ac:dyDescent="0.3">
      <c r="A94" s="246" t="s">
        <v>85</v>
      </c>
      <c r="B94" s="247"/>
      <c r="C94" s="248"/>
      <c r="D94" s="11"/>
      <c r="E94" s="82"/>
      <c r="F94" s="82"/>
      <c r="G94" s="26"/>
      <c r="H94" s="83"/>
      <c r="I94" s="13">
        <f t="shared" si="13"/>
        <v>0</v>
      </c>
      <c r="J94" s="82"/>
      <c r="K94" s="82"/>
      <c r="L94" s="26"/>
      <c r="M94" s="83"/>
      <c r="N94" s="13">
        <f t="shared" si="14"/>
        <v>0</v>
      </c>
      <c r="O94" s="12">
        <f t="shared" si="12"/>
        <v>0</v>
      </c>
      <c r="P94" s="11"/>
    </row>
    <row r="95" spans="1:16" ht="34.75" customHeight="1" x14ac:dyDescent="0.3">
      <c r="A95" s="252" t="s">
        <v>112</v>
      </c>
      <c r="B95" s="253"/>
      <c r="C95" s="254"/>
      <c r="D95" s="11"/>
      <c r="E95" s="82"/>
      <c r="F95" s="82"/>
      <c r="G95" s="26"/>
      <c r="H95" s="83"/>
      <c r="I95" s="13">
        <f t="shared" si="13"/>
        <v>0</v>
      </c>
      <c r="J95" s="82"/>
      <c r="K95" s="82"/>
      <c r="L95" s="26"/>
      <c r="M95" s="83"/>
      <c r="N95" s="13">
        <f t="shared" si="14"/>
        <v>0</v>
      </c>
      <c r="O95" s="12">
        <f t="shared" si="12"/>
        <v>0</v>
      </c>
      <c r="P95" s="11"/>
    </row>
    <row r="96" spans="1:16" x14ac:dyDescent="0.3">
      <c r="A96" s="252" t="s">
        <v>65</v>
      </c>
      <c r="B96" s="253"/>
      <c r="C96" s="254"/>
      <c r="D96" s="11"/>
      <c r="E96" s="82"/>
      <c r="F96" s="82"/>
      <c r="G96" s="68"/>
      <c r="H96" s="84"/>
      <c r="I96" s="13">
        <f t="shared" si="13"/>
        <v>0</v>
      </c>
      <c r="J96" s="82"/>
      <c r="K96" s="82"/>
      <c r="L96" s="68"/>
      <c r="M96" s="84"/>
      <c r="N96" s="13">
        <f t="shared" si="14"/>
        <v>0</v>
      </c>
      <c r="O96" s="12">
        <f t="shared" si="12"/>
        <v>0</v>
      </c>
      <c r="P96" s="11"/>
    </row>
    <row r="97" spans="1:16" x14ac:dyDescent="0.3">
      <c r="A97" s="211"/>
      <c r="B97" s="212"/>
      <c r="C97" s="213"/>
      <c r="D97" s="11"/>
      <c r="E97" s="12"/>
      <c r="F97" s="12"/>
      <c r="G97" s="12"/>
      <c r="H97" s="26"/>
      <c r="I97" s="16"/>
      <c r="J97" s="12"/>
      <c r="K97" s="12"/>
      <c r="L97" s="12"/>
      <c r="M97" s="26"/>
      <c r="N97" s="16"/>
      <c r="O97" s="104"/>
      <c r="P97" s="11"/>
    </row>
    <row r="98" spans="1:16" x14ac:dyDescent="0.3">
      <c r="A98" s="208" t="s">
        <v>41</v>
      </c>
      <c r="B98" s="209"/>
      <c r="C98" s="210"/>
      <c r="D98" s="19">
        <v>310400000000000</v>
      </c>
      <c r="E98" s="34"/>
      <c r="F98" s="34"/>
      <c r="G98" s="34"/>
      <c r="H98" s="29"/>
      <c r="I98" s="51"/>
      <c r="J98" s="9"/>
      <c r="K98" s="9"/>
      <c r="L98" s="9"/>
      <c r="M98" s="9"/>
      <c r="N98" s="9"/>
      <c r="O98" s="71"/>
      <c r="P98" s="9"/>
    </row>
    <row r="99" spans="1:16" x14ac:dyDescent="0.3">
      <c r="A99" s="211" t="s">
        <v>86</v>
      </c>
      <c r="B99" s="212"/>
      <c r="C99" s="213"/>
      <c r="D99" s="11"/>
      <c r="E99" s="82"/>
      <c r="F99" s="82"/>
      <c r="G99" s="82"/>
      <c r="H99" s="83"/>
      <c r="I99" s="93"/>
      <c r="J99" s="87"/>
      <c r="K99" s="87"/>
      <c r="L99" s="87"/>
      <c r="M99" s="87"/>
      <c r="N99" s="87"/>
      <c r="O99" s="103"/>
      <c r="P99" s="87"/>
    </row>
    <row r="100" spans="1:16" ht="13" customHeight="1" x14ac:dyDescent="0.3">
      <c r="A100" s="243" t="s">
        <v>87</v>
      </c>
      <c r="B100" s="244"/>
      <c r="C100" s="245"/>
      <c r="D100" s="16"/>
      <c r="E100" s="82"/>
      <c r="F100" s="82"/>
      <c r="G100" s="82"/>
      <c r="H100" s="83"/>
      <c r="I100" s="86"/>
      <c r="J100" s="86"/>
      <c r="K100" s="86"/>
      <c r="L100" s="86"/>
      <c r="M100" s="86"/>
      <c r="N100" s="86"/>
      <c r="O100" s="103"/>
      <c r="P100" s="86"/>
    </row>
    <row r="101" spans="1:16" ht="15.5" customHeight="1" x14ac:dyDescent="0.3">
      <c r="A101" s="246" t="s">
        <v>56</v>
      </c>
      <c r="B101" s="247"/>
      <c r="C101" s="248"/>
      <c r="D101" s="11"/>
      <c r="E101" s="82"/>
      <c r="F101" s="82"/>
      <c r="G101" s="82"/>
      <c r="H101" s="68"/>
      <c r="I101" s="96">
        <f>H101</f>
        <v>0</v>
      </c>
      <c r="J101" s="82"/>
      <c r="K101" s="82"/>
      <c r="L101" s="82"/>
      <c r="M101" s="101"/>
      <c r="N101" s="102">
        <f>M101</f>
        <v>0</v>
      </c>
      <c r="O101" s="71">
        <f t="shared" si="12"/>
        <v>0</v>
      </c>
      <c r="P101" s="11"/>
    </row>
    <row r="102" spans="1:16" ht="15.5" customHeight="1" x14ac:dyDescent="0.3">
      <c r="A102" s="246" t="s">
        <v>88</v>
      </c>
      <c r="B102" s="247"/>
      <c r="C102" s="248"/>
      <c r="D102" s="11"/>
      <c r="E102" s="82"/>
      <c r="F102" s="82"/>
      <c r="G102" s="82"/>
      <c r="H102" s="31"/>
      <c r="I102" s="96">
        <f>H102</f>
        <v>0</v>
      </c>
      <c r="J102" s="82"/>
      <c r="K102" s="82"/>
      <c r="L102" s="82"/>
      <c r="M102" s="101"/>
      <c r="N102" s="102">
        <f>M102</f>
        <v>0</v>
      </c>
      <c r="O102" s="71">
        <f t="shared" si="12"/>
        <v>0</v>
      </c>
      <c r="P102" s="11"/>
    </row>
    <row r="103" spans="1:16" ht="13" customHeight="1" x14ac:dyDescent="0.3">
      <c r="A103" s="243" t="s">
        <v>89</v>
      </c>
      <c r="B103" s="244"/>
      <c r="C103" s="245"/>
      <c r="D103" s="16"/>
      <c r="E103" s="82"/>
      <c r="F103" s="82"/>
      <c r="G103" s="82"/>
      <c r="H103" s="100"/>
      <c r="I103" s="86"/>
      <c r="J103" s="82"/>
      <c r="K103" s="82"/>
      <c r="L103" s="82"/>
      <c r="M103" s="86"/>
      <c r="N103" s="86"/>
      <c r="O103" s="103"/>
      <c r="P103" s="86"/>
    </row>
    <row r="104" spans="1:16" ht="15.5" customHeight="1" x14ac:dyDescent="0.3">
      <c r="A104" s="246" t="s">
        <v>56</v>
      </c>
      <c r="B104" s="247"/>
      <c r="C104" s="248"/>
      <c r="D104" s="11"/>
      <c r="E104" s="82"/>
      <c r="F104" s="82"/>
      <c r="G104" s="82"/>
      <c r="H104" s="31"/>
      <c r="I104" s="96">
        <f>H104</f>
        <v>0</v>
      </c>
      <c r="J104" s="82"/>
      <c r="K104" s="82"/>
      <c r="L104" s="82"/>
      <c r="M104" s="101"/>
      <c r="N104" s="71">
        <f>M104</f>
        <v>0</v>
      </c>
      <c r="O104" s="71">
        <f t="shared" si="12"/>
        <v>0</v>
      </c>
      <c r="P104" s="11"/>
    </row>
    <row r="105" spans="1:16" ht="15.5" customHeight="1" x14ac:dyDescent="0.3">
      <c r="A105" s="246" t="s">
        <v>88</v>
      </c>
      <c r="B105" s="247"/>
      <c r="C105" s="248"/>
      <c r="D105" s="11"/>
      <c r="E105" s="82"/>
      <c r="F105" s="82"/>
      <c r="G105" s="82"/>
      <c r="H105" s="31"/>
      <c r="I105" s="96">
        <f>H105</f>
        <v>0</v>
      </c>
      <c r="J105" s="82"/>
      <c r="K105" s="82"/>
      <c r="L105" s="82"/>
      <c r="M105" s="101"/>
      <c r="N105" s="71">
        <f>M105</f>
        <v>0</v>
      </c>
      <c r="O105" s="71">
        <f t="shared" si="12"/>
        <v>0</v>
      </c>
      <c r="P105" s="11"/>
    </row>
    <row r="106" spans="1:16" ht="27.65" customHeight="1" thickBot="1" x14ac:dyDescent="0.35">
      <c r="A106" s="243" t="s">
        <v>90</v>
      </c>
      <c r="B106" s="244"/>
      <c r="C106" s="245"/>
      <c r="D106" s="16"/>
      <c r="E106" s="82"/>
      <c r="F106" s="82"/>
      <c r="G106" s="82"/>
      <c r="H106" s="83"/>
      <c r="I106" s="86"/>
      <c r="J106" s="86"/>
      <c r="K106" s="86"/>
      <c r="L106" s="86"/>
      <c r="M106" s="86"/>
      <c r="N106" s="86"/>
      <c r="O106" s="103"/>
      <c r="P106" s="86"/>
    </row>
    <row r="107" spans="1:16" ht="15.5" customHeight="1" thickBot="1" x14ac:dyDescent="0.35">
      <c r="A107" s="246" t="s">
        <v>91</v>
      </c>
      <c r="B107" s="247"/>
      <c r="C107" s="248"/>
      <c r="D107" s="11"/>
      <c r="E107" s="109">
        <v>1</v>
      </c>
      <c r="F107" s="82"/>
      <c r="G107" s="82"/>
      <c r="H107" s="83"/>
      <c r="I107" s="96">
        <f>E107</f>
        <v>1</v>
      </c>
      <c r="J107" s="157">
        <v>0.41120000000000001</v>
      </c>
      <c r="K107" s="82"/>
      <c r="L107" s="82"/>
      <c r="M107" s="83"/>
      <c r="N107" s="71">
        <f>J107</f>
        <v>0.41120000000000001</v>
      </c>
      <c r="O107" s="71">
        <f t="shared" si="12"/>
        <v>-0.58879999999999999</v>
      </c>
      <c r="P107" s="11"/>
    </row>
    <row r="108" spans="1:16" ht="15.5" customHeight="1" thickBot="1" x14ac:dyDescent="0.35">
      <c r="A108" s="246" t="s">
        <v>92</v>
      </c>
      <c r="B108" s="247"/>
      <c r="C108" s="248"/>
      <c r="D108" s="11"/>
      <c r="E108" s="109">
        <v>1</v>
      </c>
      <c r="F108" s="82"/>
      <c r="G108" s="82"/>
      <c r="H108" s="83"/>
      <c r="I108" s="96">
        <f t="shared" ref="I108:I109" si="15">E108</f>
        <v>1</v>
      </c>
      <c r="J108" s="158" t="s">
        <v>204</v>
      </c>
      <c r="K108" s="82"/>
      <c r="L108" s="82"/>
      <c r="M108" s="83"/>
      <c r="N108" s="71" t="str">
        <f t="shared" ref="N108:N109" si="16">J108</f>
        <v>NDA</v>
      </c>
      <c r="O108" s="71" t="e">
        <f t="shared" si="12"/>
        <v>#VALUE!</v>
      </c>
      <c r="P108" s="11"/>
    </row>
    <row r="109" spans="1:16" ht="15.5" customHeight="1" thickBot="1" x14ac:dyDescent="0.35">
      <c r="A109" s="246" t="s">
        <v>93</v>
      </c>
      <c r="B109" s="247"/>
      <c r="C109" s="248"/>
      <c r="D109" s="11"/>
      <c r="E109" s="109">
        <v>1</v>
      </c>
      <c r="F109" s="82"/>
      <c r="G109" s="82"/>
      <c r="H109" s="83"/>
      <c r="I109" s="96">
        <f t="shared" si="15"/>
        <v>1</v>
      </c>
      <c r="J109" s="157">
        <v>0.26269999999999999</v>
      </c>
      <c r="K109" s="82"/>
      <c r="L109" s="82"/>
      <c r="M109" s="83"/>
      <c r="N109" s="71">
        <f t="shared" si="16"/>
        <v>0.26269999999999999</v>
      </c>
      <c r="O109" s="71">
        <f t="shared" si="12"/>
        <v>-0.73730000000000007</v>
      </c>
      <c r="P109" s="11"/>
    </row>
    <row r="110" spans="1:16" ht="15.5" customHeight="1" x14ac:dyDescent="0.3">
      <c r="A110" s="14"/>
      <c r="B110" s="3"/>
      <c r="C110" s="15"/>
      <c r="D110" s="11"/>
      <c r="E110" s="12"/>
      <c r="F110" s="12"/>
      <c r="G110" s="12"/>
      <c r="H110" s="26"/>
      <c r="I110" s="13"/>
      <c r="J110" s="11"/>
      <c r="K110" s="11"/>
      <c r="L110" s="11"/>
      <c r="M110" s="11"/>
      <c r="N110" s="11"/>
      <c r="O110" s="71"/>
      <c r="P110" s="11"/>
    </row>
    <row r="111" spans="1:16" x14ac:dyDescent="0.3">
      <c r="A111" s="211" t="s">
        <v>24</v>
      </c>
      <c r="B111" s="212"/>
      <c r="C111" s="213"/>
      <c r="D111" s="11"/>
      <c r="E111" s="82"/>
      <c r="F111" s="82"/>
      <c r="G111" s="82"/>
      <c r="H111" s="83"/>
      <c r="I111" s="93"/>
      <c r="J111" s="87"/>
      <c r="K111" s="87"/>
      <c r="L111" s="87"/>
      <c r="M111" s="87"/>
      <c r="N111" s="87"/>
      <c r="O111" s="103"/>
      <c r="P111" s="87"/>
    </row>
    <row r="112" spans="1:16" s="22" customFormat="1" ht="22.25" customHeight="1" x14ac:dyDescent="0.3">
      <c r="A112" s="252" t="s">
        <v>94</v>
      </c>
      <c r="B112" s="253"/>
      <c r="C112" s="254"/>
      <c r="D112" s="16"/>
      <c r="E112" s="82"/>
      <c r="F112" s="82"/>
      <c r="G112" s="82"/>
      <c r="H112" s="83"/>
      <c r="I112" s="86"/>
      <c r="J112" s="86"/>
      <c r="K112" s="86"/>
      <c r="L112" s="86"/>
      <c r="M112" s="86"/>
      <c r="N112" s="86"/>
      <c r="O112" s="103"/>
      <c r="P112" s="86"/>
    </row>
    <row r="113" spans="1:16" ht="15.5" customHeight="1" x14ac:dyDescent="0.3">
      <c r="A113" s="211" t="s">
        <v>28</v>
      </c>
      <c r="B113" s="212"/>
      <c r="C113" s="213"/>
      <c r="D113" s="11"/>
      <c r="E113" s="82"/>
      <c r="F113" s="82"/>
      <c r="G113" s="82"/>
      <c r="H113" s="63"/>
      <c r="I113" s="13">
        <f>H113</f>
        <v>0</v>
      </c>
      <c r="J113" s="82"/>
      <c r="K113" s="82"/>
      <c r="L113" s="82"/>
      <c r="M113" s="11"/>
      <c r="N113" s="12">
        <f>M113</f>
        <v>0</v>
      </c>
      <c r="O113" s="12">
        <f t="shared" si="12"/>
        <v>0</v>
      </c>
      <c r="P113" s="11"/>
    </row>
    <row r="114" spans="1:16" ht="15.5" customHeight="1" x14ac:dyDescent="0.3">
      <c r="A114" s="211" t="s">
        <v>29</v>
      </c>
      <c r="B114" s="212"/>
      <c r="C114" s="213"/>
      <c r="D114" s="11"/>
      <c r="E114" s="82"/>
      <c r="F114" s="82"/>
      <c r="G114" s="82"/>
      <c r="H114" s="63"/>
      <c r="I114" s="13">
        <f>H114</f>
        <v>0</v>
      </c>
      <c r="J114" s="82"/>
      <c r="K114" s="82"/>
      <c r="L114" s="82"/>
      <c r="M114" s="11"/>
      <c r="N114" s="12">
        <f>M114</f>
        <v>0</v>
      </c>
      <c r="O114" s="12">
        <f t="shared" si="12"/>
        <v>0</v>
      </c>
      <c r="P114" s="11"/>
    </row>
    <row r="115" spans="1:16" ht="15.5" customHeight="1" x14ac:dyDescent="0.3">
      <c r="A115" s="14"/>
      <c r="B115" s="3"/>
      <c r="C115" s="15"/>
      <c r="D115" s="11"/>
      <c r="E115" s="12"/>
      <c r="F115" s="12"/>
      <c r="G115" s="12"/>
      <c r="H115" s="26"/>
      <c r="I115" s="13"/>
      <c r="J115" s="11"/>
      <c r="K115" s="11"/>
      <c r="L115" s="11"/>
      <c r="M115" s="11"/>
      <c r="N115" s="11"/>
      <c r="O115" s="71"/>
      <c r="P115" s="11"/>
    </row>
    <row r="116" spans="1:16" ht="13" customHeight="1" x14ac:dyDescent="0.3">
      <c r="A116" s="243" t="s">
        <v>95</v>
      </c>
      <c r="B116" s="244"/>
      <c r="C116" s="245"/>
      <c r="D116" s="11"/>
      <c r="E116" s="82"/>
      <c r="F116" s="82"/>
      <c r="G116" s="82"/>
      <c r="H116" s="83"/>
      <c r="I116" s="86"/>
      <c r="J116" s="87"/>
      <c r="K116" s="87"/>
      <c r="L116" s="87"/>
      <c r="M116" s="87"/>
      <c r="N116" s="87"/>
      <c r="O116" s="103"/>
      <c r="P116" s="87"/>
    </row>
    <row r="117" spans="1:16" ht="15.5" customHeight="1" x14ac:dyDescent="0.3">
      <c r="A117" s="211" t="s">
        <v>30</v>
      </c>
      <c r="B117" s="212"/>
      <c r="C117" s="213"/>
      <c r="D117" s="11"/>
      <c r="E117" s="82"/>
      <c r="F117" s="82"/>
      <c r="G117" s="82"/>
      <c r="H117" s="26"/>
      <c r="I117" s="13">
        <f>H117</f>
        <v>0</v>
      </c>
      <c r="J117" s="82"/>
      <c r="K117" s="82"/>
      <c r="L117" s="82"/>
      <c r="M117" s="11"/>
      <c r="N117" s="12">
        <f>M117</f>
        <v>0</v>
      </c>
      <c r="O117" s="12">
        <f t="shared" si="12"/>
        <v>0</v>
      </c>
      <c r="P117" s="11"/>
    </row>
    <row r="118" spans="1:16" ht="15.5" customHeight="1" x14ac:dyDescent="0.3">
      <c r="A118" s="211" t="s">
        <v>31</v>
      </c>
      <c r="B118" s="212"/>
      <c r="C118" s="213"/>
      <c r="D118" s="11"/>
      <c r="E118" s="82"/>
      <c r="F118" s="82"/>
      <c r="G118" s="82"/>
      <c r="H118" s="26"/>
      <c r="I118" s="13">
        <f t="shared" ref="I118:I119" si="17">H118</f>
        <v>0</v>
      </c>
      <c r="J118" s="82"/>
      <c r="K118" s="82"/>
      <c r="L118" s="82"/>
      <c r="M118" s="11"/>
      <c r="N118" s="12">
        <f t="shared" ref="N118:N119" si="18">M118</f>
        <v>0</v>
      </c>
      <c r="O118" s="12">
        <f t="shared" si="12"/>
        <v>0</v>
      </c>
      <c r="P118" s="11"/>
    </row>
    <row r="119" spans="1:16" ht="15.5" customHeight="1" x14ac:dyDescent="0.3">
      <c r="A119" s="211" t="s">
        <v>32</v>
      </c>
      <c r="B119" s="212"/>
      <c r="C119" s="213"/>
      <c r="D119" s="11"/>
      <c r="E119" s="82"/>
      <c r="F119" s="82"/>
      <c r="G119" s="82"/>
      <c r="H119" s="26"/>
      <c r="I119" s="13">
        <f t="shared" si="17"/>
        <v>0</v>
      </c>
      <c r="J119" s="82"/>
      <c r="K119" s="82"/>
      <c r="L119" s="82"/>
      <c r="M119" s="11"/>
      <c r="N119" s="12">
        <f t="shared" si="18"/>
        <v>0</v>
      </c>
      <c r="O119" s="12">
        <f t="shared" si="12"/>
        <v>0</v>
      </c>
      <c r="P119" s="11"/>
    </row>
    <row r="120" spans="1:16" ht="13" customHeight="1" x14ac:dyDescent="0.3">
      <c r="A120" s="261"/>
      <c r="B120" s="262"/>
      <c r="C120" s="263"/>
      <c r="D120" s="16"/>
      <c r="E120" s="12"/>
      <c r="F120" s="12"/>
      <c r="G120" s="12"/>
      <c r="H120" s="26"/>
      <c r="I120" s="16"/>
      <c r="J120" s="16"/>
      <c r="K120" s="16"/>
      <c r="L120" s="16"/>
      <c r="M120" s="16"/>
      <c r="N120" s="16"/>
      <c r="O120" s="104"/>
      <c r="P120" s="16"/>
    </row>
    <row r="121" spans="1:16" x14ac:dyDescent="0.3">
      <c r="A121" s="208" t="s">
        <v>40</v>
      </c>
      <c r="B121" s="209"/>
      <c r="C121" s="210"/>
      <c r="D121" s="19">
        <v>310500000000000</v>
      </c>
      <c r="E121" s="105"/>
      <c r="F121" s="105"/>
      <c r="G121" s="105"/>
      <c r="H121" s="106"/>
      <c r="I121" s="107"/>
      <c r="J121" s="108"/>
      <c r="K121" s="108"/>
      <c r="L121" s="108"/>
      <c r="M121" s="108"/>
      <c r="N121" s="108"/>
      <c r="O121" s="103"/>
      <c r="P121" s="108"/>
    </row>
    <row r="122" spans="1:16" ht="13.5" thickBot="1" x14ac:dyDescent="0.35">
      <c r="A122" s="233" t="s">
        <v>86</v>
      </c>
      <c r="B122" s="234"/>
      <c r="C122" s="235"/>
      <c r="D122" s="87"/>
      <c r="E122" s="82"/>
      <c r="F122" s="82"/>
      <c r="G122" s="82"/>
      <c r="H122" s="83"/>
      <c r="I122" s="93"/>
      <c r="J122" s="87"/>
      <c r="K122" s="87"/>
      <c r="L122" s="87"/>
      <c r="M122" s="87"/>
      <c r="N122" s="87"/>
      <c r="O122" s="103"/>
      <c r="P122" s="87"/>
    </row>
    <row r="123" spans="1:16" s="10" customFormat="1" ht="28.25" customHeight="1" thickBot="1" x14ac:dyDescent="0.4">
      <c r="A123" s="227" t="s">
        <v>96</v>
      </c>
      <c r="B123" s="228"/>
      <c r="C123" s="229"/>
      <c r="D123" s="12"/>
      <c r="E123" s="98"/>
      <c r="F123" s="98"/>
      <c r="G123" s="98"/>
      <c r="H123" s="68"/>
      <c r="I123" s="98" t="e">
        <f>AVERAGE(E123:H123)</f>
        <v>#DIV/0!</v>
      </c>
      <c r="J123" s="159">
        <v>0</v>
      </c>
      <c r="K123" s="12"/>
      <c r="L123" s="12"/>
      <c r="M123" s="12"/>
      <c r="N123" s="12">
        <f>AVERAGE(J123:M123)</f>
        <v>0</v>
      </c>
      <c r="O123" s="71" t="e">
        <f t="shared" si="12"/>
        <v>#DIV/0!</v>
      </c>
      <c r="P123" s="12"/>
    </row>
    <row r="124" spans="1:16" s="10" customFormat="1" ht="15.5" customHeight="1" thickBot="1" x14ac:dyDescent="0.4">
      <c r="A124" s="72"/>
      <c r="B124" s="73"/>
      <c r="C124" s="74" t="s">
        <v>109</v>
      </c>
      <c r="D124" s="12"/>
      <c r="E124" s="98"/>
      <c r="F124" s="98"/>
      <c r="G124" s="98"/>
      <c r="H124" s="68"/>
      <c r="I124" s="98" t="e">
        <f>AVERAGE(E124:H124)</f>
        <v>#DIV/0!</v>
      </c>
      <c r="J124" s="159">
        <v>1</v>
      </c>
      <c r="K124" s="12"/>
      <c r="L124" s="12"/>
      <c r="M124" s="12"/>
      <c r="N124" s="12">
        <f>AVERAGE(J124:M124)</f>
        <v>1</v>
      </c>
      <c r="O124" s="71" t="e">
        <f t="shared" si="12"/>
        <v>#DIV/0!</v>
      </c>
      <c r="P124" s="12"/>
    </row>
    <row r="125" spans="1:16" s="10" customFormat="1" ht="15.5" customHeight="1" thickBot="1" x14ac:dyDescent="0.4">
      <c r="A125" s="72"/>
      <c r="B125" s="73"/>
      <c r="C125" s="75" t="s">
        <v>110</v>
      </c>
      <c r="D125" s="12"/>
      <c r="E125" s="12"/>
      <c r="F125" s="12"/>
      <c r="G125" s="12"/>
      <c r="H125" s="26"/>
      <c r="I125" s="52" t="e">
        <f>AVERAGE(E125:H125)</f>
        <v>#DIV/0!</v>
      </c>
      <c r="J125" s="160">
        <v>145</v>
      </c>
      <c r="K125" s="12"/>
      <c r="L125" s="12"/>
      <c r="M125" s="12"/>
      <c r="N125" s="12">
        <f t="shared" ref="N125:N128" si="19">AVERAGE(J125:M125)</f>
        <v>145</v>
      </c>
      <c r="O125" s="71" t="e">
        <f t="shared" si="12"/>
        <v>#DIV/0!</v>
      </c>
      <c r="P125" s="12"/>
    </row>
    <row r="126" spans="1:16" s="10" customFormat="1" ht="15.5" customHeight="1" thickBot="1" x14ac:dyDescent="0.4">
      <c r="A126" s="72"/>
      <c r="B126" s="73"/>
      <c r="C126" s="75" t="s">
        <v>56</v>
      </c>
      <c r="D126" s="12"/>
      <c r="E126" s="12"/>
      <c r="F126" s="12"/>
      <c r="G126" s="12"/>
      <c r="H126" s="26"/>
      <c r="I126" s="52" t="e">
        <f t="shared" ref="I126:I128" si="20">AVERAGE(E126:H126)</f>
        <v>#DIV/0!</v>
      </c>
      <c r="J126" s="160">
        <v>120</v>
      </c>
      <c r="K126" s="12"/>
      <c r="L126" s="12"/>
      <c r="M126" s="12"/>
      <c r="N126" s="12">
        <f t="shared" si="19"/>
        <v>120</v>
      </c>
      <c r="O126" s="71" t="e">
        <f t="shared" si="12"/>
        <v>#DIV/0!</v>
      </c>
      <c r="P126" s="12"/>
    </row>
    <row r="127" spans="1:16" s="10" customFormat="1" ht="15.5" customHeight="1" thickBot="1" x14ac:dyDescent="0.4">
      <c r="A127" s="72"/>
      <c r="B127" s="73"/>
      <c r="C127" s="75" t="s">
        <v>57</v>
      </c>
      <c r="D127" s="12"/>
      <c r="E127" s="12"/>
      <c r="F127" s="12"/>
      <c r="G127" s="12"/>
      <c r="H127" s="26"/>
      <c r="I127" s="52" t="e">
        <f t="shared" si="20"/>
        <v>#DIV/0!</v>
      </c>
      <c r="J127" s="160">
        <v>25</v>
      </c>
      <c r="K127" s="12"/>
      <c r="L127" s="12"/>
      <c r="M127" s="12"/>
      <c r="N127" s="12">
        <f t="shared" si="19"/>
        <v>25</v>
      </c>
      <c r="O127" s="71" t="e">
        <f t="shared" si="12"/>
        <v>#DIV/0!</v>
      </c>
      <c r="P127" s="12"/>
    </row>
    <row r="128" spans="1:16" s="10" customFormat="1" ht="15.5" customHeight="1" thickBot="1" x14ac:dyDescent="0.4">
      <c r="A128" s="72"/>
      <c r="B128" s="73"/>
      <c r="C128" s="75" t="s">
        <v>58</v>
      </c>
      <c r="D128" s="12"/>
      <c r="E128" s="12"/>
      <c r="F128" s="12"/>
      <c r="G128" s="12"/>
      <c r="H128" s="26"/>
      <c r="I128" s="52" t="e">
        <f t="shared" si="20"/>
        <v>#DIV/0!</v>
      </c>
      <c r="J128" s="160">
        <v>23</v>
      </c>
      <c r="K128" s="12"/>
      <c r="L128" s="12"/>
      <c r="M128" s="12"/>
      <c r="N128" s="12">
        <f t="shared" si="19"/>
        <v>23</v>
      </c>
      <c r="O128" s="71" t="e">
        <f t="shared" si="12"/>
        <v>#DIV/0!</v>
      </c>
      <c r="P128" s="12"/>
    </row>
    <row r="129" spans="1:16" s="10" customFormat="1" ht="15.5" customHeight="1" x14ac:dyDescent="0.35">
      <c r="A129" s="72"/>
      <c r="B129" s="73"/>
      <c r="C129" s="74"/>
      <c r="D129" s="12"/>
      <c r="E129" s="12"/>
      <c r="F129" s="12"/>
      <c r="G129" s="12"/>
      <c r="H129" s="26"/>
      <c r="I129" s="52"/>
      <c r="J129" s="12"/>
      <c r="K129" s="12"/>
      <c r="L129" s="12"/>
      <c r="M129" s="12"/>
      <c r="N129" s="12"/>
      <c r="O129" s="71"/>
      <c r="P129" s="12"/>
    </row>
    <row r="130" spans="1:16" x14ac:dyDescent="0.3">
      <c r="A130" s="224" t="s">
        <v>59</v>
      </c>
      <c r="B130" s="225"/>
      <c r="C130" s="226"/>
      <c r="D130" s="87"/>
      <c r="E130" s="82"/>
      <c r="F130" s="82"/>
      <c r="G130" s="82"/>
      <c r="H130" s="83"/>
      <c r="I130" s="93"/>
      <c r="J130" s="87"/>
      <c r="K130" s="87"/>
      <c r="L130" s="87"/>
      <c r="M130" s="87"/>
      <c r="N130" s="87"/>
      <c r="O130" s="103"/>
      <c r="P130" s="87"/>
    </row>
    <row r="131" spans="1:16" ht="31.25" customHeight="1" thickBot="1" x14ac:dyDescent="0.35">
      <c r="A131" s="227" t="s">
        <v>97</v>
      </c>
      <c r="B131" s="228"/>
      <c r="C131" s="229"/>
      <c r="D131" s="16"/>
      <c r="E131" s="12"/>
      <c r="F131" s="12"/>
      <c r="G131" s="12"/>
      <c r="H131" s="26"/>
      <c r="I131" s="12"/>
      <c r="J131" s="16">
        <f>J132+J133</f>
        <v>101</v>
      </c>
      <c r="K131" s="16"/>
      <c r="L131" s="16"/>
      <c r="M131" s="16"/>
      <c r="N131" s="12"/>
      <c r="O131" s="12"/>
      <c r="P131" s="16"/>
    </row>
    <row r="132" spans="1:16" ht="14.5" customHeight="1" thickBot="1" x14ac:dyDescent="0.35">
      <c r="A132" s="227" t="s">
        <v>113</v>
      </c>
      <c r="B132" s="228"/>
      <c r="C132" s="229"/>
      <c r="D132" s="16"/>
      <c r="E132" s="12"/>
      <c r="F132" s="12"/>
      <c r="G132" s="12"/>
      <c r="H132" s="26"/>
      <c r="I132" s="12">
        <f>SUM(E132:H132)</f>
        <v>0</v>
      </c>
      <c r="J132" s="160">
        <v>101</v>
      </c>
      <c r="K132" s="16"/>
      <c r="L132" s="16"/>
      <c r="M132" s="16"/>
      <c r="N132" s="12">
        <f>SUM(J132:M132)</f>
        <v>101</v>
      </c>
      <c r="O132" s="12">
        <f t="shared" ref="O132:O134" si="21">N132-I132</f>
        <v>101</v>
      </c>
      <c r="P132" s="16"/>
    </row>
    <row r="133" spans="1:16" ht="14.5" customHeight="1" thickBot="1" x14ac:dyDescent="0.35">
      <c r="A133" s="227" t="s">
        <v>114</v>
      </c>
      <c r="B133" s="228"/>
      <c r="C133" s="229"/>
      <c r="D133" s="16"/>
      <c r="E133" s="12"/>
      <c r="F133" s="12"/>
      <c r="G133" s="12"/>
      <c r="H133" s="26"/>
      <c r="I133" s="12">
        <f>SUM(E133:H133)</f>
        <v>0</v>
      </c>
      <c r="J133" s="160">
        <v>0</v>
      </c>
      <c r="K133" s="16"/>
      <c r="L133" s="16"/>
      <c r="M133" s="16"/>
      <c r="N133" s="12">
        <f>SUM(J133:M133)</f>
        <v>0</v>
      </c>
      <c r="O133" s="12">
        <f t="shared" si="21"/>
        <v>0</v>
      </c>
      <c r="P133" s="16"/>
    </row>
    <row r="134" spans="1:16" ht="14.5" customHeight="1" thickBot="1" x14ac:dyDescent="0.35">
      <c r="A134" s="227" t="s">
        <v>115</v>
      </c>
      <c r="B134" s="228"/>
      <c r="C134" s="229"/>
      <c r="D134" s="16"/>
      <c r="E134" s="12"/>
      <c r="F134" s="12"/>
      <c r="G134" s="12"/>
      <c r="H134" s="26"/>
      <c r="I134" s="12">
        <f>SUM(E134:H134)</f>
        <v>0</v>
      </c>
      <c r="J134" s="160">
        <v>54</v>
      </c>
      <c r="K134" s="16"/>
      <c r="L134" s="16"/>
      <c r="M134" s="16"/>
      <c r="N134" s="12">
        <f>SUM(J134:M134)</f>
        <v>54</v>
      </c>
      <c r="O134" s="12">
        <f t="shared" si="21"/>
        <v>54</v>
      </c>
      <c r="P134" s="16"/>
    </row>
    <row r="135" spans="1:16" ht="14.5" customHeight="1" x14ac:dyDescent="0.3">
      <c r="A135" s="240"/>
      <c r="B135" s="241"/>
      <c r="C135" s="242"/>
      <c r="D135" s="110"/>
      <c r="E135" s="111"/>
      <c r="F135" s="111"/>
      <c r="G135" s="111"/>
      <c r="H135" s="112"/>
      <c r="I135" s="111"/>
      <c r="J135" s="110"/>
      <c r="K135" s="110"/>
      <c r="L135" s="110"/>
      <c r="M135" s="110"/>
      <c r="N135" s="111"/>
      <c r="O135" s="111"/>
      <c r="P135" s="110"/>
    </row>
    <row r="136" spans="1:16" x14ac:dyDescent="0.3">
      <c r="A136" s="215"/>
      <c r="B136" s="215"/>
      <c r="C136" s="215"/>
    </row>
    <row r="137" spans="1:16" x14ac:dyDescent="0.3">
      <c r="A137" s="268" t="s">
        <v>34</v>
      </c>
      <c r="B137" s="268"/>
      <c r="C137" s="268"/>
      <c r="H137" s="268" t="s">
        <v>35</v>
      </c>
      <c r="I137" s="268"/>
      <c r="J137" s="268"/>
      <c r="M137" s="268" t="s">
        <v>14</v>
      </c>
      <c r="N137" s="268"/>
      <c r="O137" s="268"/>
    </row>
    <row r="138" spans="1:16" x14ac:dyDescent="0.3">
      <c r="A138" s="215"/>
      <c r="B138" s="215"/>
      <c r="C138" s="215"/>
      <c r="H138" s="215"/>
      <c r="I138" s="215"/>
      <c r="J138" s="215"/>
      <c r="M138" s="215"/>
      <c r="N138" s="215"/>
      <c r="O138" s="215"/>
    </row>
    <row r="139" spans="1:16" x14ac:dyDescent="0.3">
      <c r="A139" s="307"/>
      <c r="B139" s="307"/>
      <c r="C139" s="307"/>
      <c r="H139" s="307"/>
      <c r="I139" s="307"/>
      <c r="J139" s="307"/>
      <c r="M139" s="307"/>
      <c r="N139" s="307"/>
      <c r="O139" s="307"/>
    </row>
    <row r="140" spans="1:16" x14ac:dyDescent="0.3">
      <c r="A140" s="209"/>
      <c r="B140" s="209"/>
      <c r="C140" s="209"/>
      <c r="H140" s="209"/>
      <c r="I140" s="209"/>
      <c r="J140" s="209"/>
      <c r="M140" s="1" t="s">
        <v>33</v>
      </c>
      <c r="N140" s="1"/>
      <c r="O140" s="1"/>
      <c r="P140" s="3"/>
    </row>
    <row r="141" spans="1:16" x14ac:dyDescent="0.3">
      <c r="A141" s="267" t="s">
        <v>13</v>
      </c>
      <c r="B141" s="267"/>
      <c r="C141" s="267"/>
      <c r="H141" s="30" t="s">
        <v>13</v>
      </c>
      <c r="M141" s="267" t="s">
        <v>13</v>
      </c>
      <c r="N141" s="267"/>
      <c r="O141" s="267"/>
      <c r="P141" s="267"/>
    </row>
  </sheetData>
  <mergeCells count="117">
    <mergeCell ref="O1:P1"/>
    <mergeCell ref="O2:P2"/>
    <mergeCell ref="E4:J4"/>
    <mergeCell ref="E5:J5"/>
    <mergeCell ref="C8:D8"/>
    <mergeCell ref="C9:D9"/>
    <mergeCell ref="O13:O14"/>
    <mergeCell ref="P13:P14"/>
    <mergeCell ref="A15:C15"/>
    <mergeCell ref="A16:C16"/>
    <mergeCell ref="A17:C17"/>
    <mergeCell ref="A18:C18"/>
    <mergeCell ref="C10:D10"/>
    <mergeCell ref="C11:D11"/>
    <mergeCell ref="A13:C14"/>
    <mergeCell ref="D13:D14"/>
    <mergeCell ref="E13:I13"/>
    <mergeCell ref="J13:N13"/>
    <mergeCell ref="A28:C28"/>
    <mergeCell ref="A29:C29"/>
    <mergeCell ref="A30:C30"/>
    <mergeCell ref="A31:C31"/>
    <mergeCell ref="A32:C32"/>
    <mergeCell ref="A36:C36"/>
    <mergeCell ref="A19:C19"/>
    <mergeCell ref="A21:C21"/>
    <mergeCell ref="A23:C23"/>
    <mergeCell ref="A24:C24"/>
    <mergeCell ref="A25:C25"/>
    <mergeCell ref="A27:C27"/>
    <mergeCell ref="A50:C50"/>
    <mergeCell ref="A52:C52"/>
    <mergeCell ref="A55:C55"/>
    <mergeCell ref="A56:C56"/>
    <mergeCell ref="A58:C58"/>
    <mergeCell ref="A60:C60"/>
    <mergeCell ref="A38:C38"/>
    <mergeCell ref="A41:C41"/>
    <mergeCell ref="A42:C42"/>
    <mergeCell ref="A44:C44"/>
    <mergeCell ref="A46:C46"/>
    <mergeCell ref="A48:C48"/>
    <mergeCell ref="A69:C69"/>
    <mergeCell ref="A70:C70"/>
    <mergeCell ref="A71:C71"/>
    <mergeCell ref="A72:C72"/>
    <mergeCell ref="A73:C73"/>
    <mergeCell ref="A74:C74"/>
    <mergeCell ref="A62:C62"/>
    <mergeCell ref="A63:C63"/>
    <mergeCell ref="A64:C64"/>
    <mergeCell ref="A65:C65"/>
    <mergeCell ref="A66:C66"/>
    <mergeCell ref="A67:C67"/>
    <mergeCell ref="A83:C83"/>
    <mergeCell ref="A85:C85"/>
    <mergeCell ref="A87:C87"/>
    <mergeCell ref="A88:C88"/>
    <mergeCell ref="A89:C89"/>
    <mergeCell ref="A90:C90"/>
    <mergeCell ref="A75:C75"/>
    <mergeCell ref="A76:C76"/>
    <mergeCell ref="A77:C77"/>
    <mergeCell ref="A78:C78"/>
    <mergeCell ref="A79:C79"/>
    <mergeCell ref="A81:C81"/>
    <mergeCell ref="A97:C97"/>
    <mergeCell ref="A98:C98"/>
    <mergeCell ref="A99:C99"/>
    <mergeCell ref="A100:C100"/>
    <mergeCell ref="A101:C101"/>
    <mergeCell ref="A102:C102"/>
    <mergeCell ref="A91:C91"/>
    <mergeCell ref="A92:C92"/>
    <mergeCell ref="A93:C93"/>
    <mergeCell ref="A94:C94"/>
    <mergeCell ref="A95:C95"/>
    <mergeCell ref="A96:C96"/>
    <mergeCell ref="A109:C109"/>
    <mergeCell ref="A111:C111"/>
    <mergeCell ref="A112:C112"/>
    <mergeCell ref="A113:C113"/>
    <mergeCell ref="A114:C114"/>
    <mergeCell ref="A116:C116"/>
    <mergeCell ref="A103:C103"/>
    <mergeCell ref="A104:C104"/>
    <mergeCell ref="A105:C105"/>
    <mergeCell ref="A106:C106"/>
    <mergeCell ref="A107:C107"/>
    <mergeCell ref="A108:C108"/>
    <mergeCell ref="A123:C123"/>
    <mergeCell ref="A130:C130"/>
    <mergeCell ref="A131:C131"/>
    <mergeCell ref="A132:C132"/>
    <mergeCell ref="A133:C133"/>
    <mergeCell ref="A134:C134"/>
    <mergeCell ref="A117:C117"/>
    <mergeCell ref="A118:C118"/>
    <mergeCell ref="A119:C119"/>
    <mergeCell ref="A120:C120"/>
    <mergeCell ref="A121:C121"/>
    <mergeCell ref="A122:C122"/>
    <mergeCell ref="A139:C139"/>
    <mergeCell ref="H139:J139"/>
    <mergeCell ref="M139:O139"/>
    <mergeCell ref="A140:C140"/>
    <mergeCell ref="H140:J140"/>
    <mergeCell ref="A141:C141"/>
    <mergeCell ref="M141:P141"/>
    <mergeCell ref="A135:C135"/>
    <mergeCell ref="A136:C136"/>
    <mergeCell ref="A137:C137"/>
    <mergeCell ref="H137:J137"/>
    <mergeCell ref="M137:O137"/>
    <mergeCell ref="A138:C138"/>
    <mergeCell ref="H138:J138"/>
    <mergeCell ref="M138:O138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99A5-0684-4BBE-9934-898F1CE9A2DF}">
  <dimension ref="A1:P141"/>
  <sheetViews>
    <sheetView topLeftCell="E53" zoomScale="92" zoomScaleNormal="90" workbookViewId="0">
      <selection activeCell="P67" sqref="P67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125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ht="13.5" thickBot="1" x14ac:dyDescent="0.35">
      <c r="A15" s="272">
        <v>1</v>
      </c>
      <c r="B15" s="272"/>
      <c r="C15" s="272"/>
      <c r="D15" s="6">
        <v>2</v>
      </c>
      <c r="E15" s="6">
        <v>3</v>
      </c>
      <c r="F15" s="6">
        <v>4</v>
      </c>
      <c r="G15" s="6">
        <v>5</v>
      </c>
      <c r="H15" s="7">
        <v>6</v>
      </c>
      <c r="I15" s="6" t="s">
        <v>21</v>
      </c>
      <c r="J15" s="6">
        <v>8</v>
      </c>
      <c r="K15" s="6">
        <v>9</v>
      </c>
      <c r="L15" s="6">
        <v>10</v>
      </c>
      <c r="M15" s="6">
        <v>11</v>
      </c>
      <c r="N15" s="6" t="s">
        <v>22</v>
      </c>
      <c r="O15" s="6">
        <v>13</v>
      </c>
      <c r="P15" s="6">
        <v>14</v>
      </c>
    </row>
    <row r="16" spans="1:16" ht="40.25" customHeight="1" x14ac:dyDescent="0.3">
      <c r="A16" s="285" t="s">
        <v>36</v>
      </c>
      <c r="B16" s="286"/>
      <c r="C16" s="287"/>
      <c r="D16" s="8"/>
      <c r="E16" s="33"/>
      <c r="F16" s="33"/>
      <c r="G16" s="33"/>
      <c r="H16" s="28"/>
      <c r="I16" s="50"/>
      <c r="J16" s="8"/>
      <c r="K16" s="8"/>
      <c r="L16" s="8"/>
      <c r="M16" s="8"/>
      <c r="N16" s="8"/>
      <c r="O16" s="8"/>
      <c r="P16" s="8"/>
    </row>
    <row r="17" spans="1:16" ht="13.25" customHeight="1" x14ac:dyDescent="0.3">
      <c r="A17" s="275" t="s">
        <v>37</v>
      </c>
      <c r="B17" s="276"/>
      <c r="C17" s="277"/>
      <c r="D17" s="20">
        <v>310100000000000</v>
      </c>
      <c r="E17" s="34"/>
      <c r="F17" s="34"/>
      <c r="G17" s="34"/>
      <c r="H17" s="29"/>
      <c r="I17" s="51"/>
      <c r="J17" s="9"/>
      <c r="K17" s="9"/>
      <c r="L17" s="9"/>
      <c r="M17" s="9"/>
      <c r="N17" s="9"/>
      <c r="O17" s="9"/>
      <c r="P17" s="9"/>
    </row>
    <row r="18" spans="1:16" x14ac:dyDescent="0.3">
      <c r="A18" s="314" t="s">
        <v>38</v>
      </c>
      <c r="B18" s="315"/>
      <c r="C18" s="316"/>
      <c r="D18" s="11"/>
      <c r="E18" s="82"/>
      <c r="F18" s="82"/>
      <c r="G18" s="82"/>
      <c r="H18" s="83"/>
      <c r="I18" s="93"/>
      <c r="J18" s="87"/>
      <c r="K18" s="87"/>
      <c r="L18" s="87"/>
      <c r="M18" s="87"/>
      <c r="N18" s="87"/>
      <c r="O18" s="87"/>
      <c r="P18" s="87"/>
    </row>
    <row r="19" spans="1:16" s="25" customFormat="1" ht="30" customHeight="1" x14ac:dyDescent="0.35">
      <c r="A19" s="252" t="s">
        <v>43</v>
      </c>
      <c r="B19" s="253"/>
      <c r="C19" s="254"/>
      <c r="D19" s="24"/>
      <c r="E19" s="76"/>
      <c r="F19" s="76"/>
      <c r="G19" s="76"/>
      <c r="H19" s="77"/>
      <c r="I19" s="78" t="e">
        <f>AVERAGE(E19:H19)</f>
        <v>#DIV/0!</v>
      </c>
      <c r="J19" s="97" t="s">
        <v>170</v>
      </c>
      <c r="K19" s="97"/>
      <c r="L19" s="97"/>
      <c r="M19" s="97"/>
      <c r="N19" s="98" t="e">
        <f>AVERAGE(J19:M19)</f>
        <v>#DIV/0!</v>
      </c>
      <c r="O19" s="71" t="e">
        <f>N19-I19</f>
        <v>#DIV/0!</v>
      </c>
      <c r="P19" s="24"/>
    </row>
    <row r="20" spans="1:16" s="25" customFormat="1" ht="19.75" customHeight="1" x14ac:dyDescent="0.35">
      <c r="A20" s="21"/>
      <c r="B20" s="22"/>
      <c r="C20" s="23"/>
      <c r="D20" s="24"/>
      <c r="E20" s="12"/>
      <c r="F20" s="12"/>
      <c r="G20" s="12"/>
      <c r="H20" s="54"/>
      <c r="I20" s="53"/>
      <c r="J20" s="24"/>
      <c r="K20" s="24"/>
      <c r="L20" s="24"/>
      <c r="M20" s="24"/>
      <c r="N20" s="24"/>
      <c r="O20" s="71"/>
      <c r="P20" s="24"/>
    </row>
    <row r="21" spans="1:16" s="25" customFormat="1" ht="14" customHeight="1" x14ac:dyDescent="0.35">
      <c r="A21" s="252" t="s">
        <v>44</v>
      </c>
      <c r="B21" s="253"/>
      <c r="C21" s="254"/>
      <c r="D21" s="24"/>
      <c r="E21" s="76"/>
      <c r="F21" s="76"/>
      <c r="G21" s="76"/>
      <c r="H21" s="77"/>
      <c r="I21" s="79" t="e">
        <f>AVERAGE(E21:H21)</f>
        <v>#DIV/0!</v>
      </c>
      <c r="J21" s="24" t="s">
        <v>170</v>
      </c>
      <c r="K21" s="24"/>
      <c r="L21" s="24"/>
      <c r="M21" s="24"/>
      <c r="N21" s="12" t="e">
        <f>AVERAGE(J21:M21)</f>
        <v>#DIV/0!</v>
      </c>
      <c r="O21" s="71" t="e">
        <f t="shared" ref="O21:O84" si="0">N21-I21</f>
        <v>#DIV/0!</v>
      </c>
      <c r="P21" s="24"/>
    </row>
    <row r="22" spans="1:16" s="25" customFormat="1" ht="14" customHeight="1" x14ac:dyDescent="0.35">
      <c r="A22" s="21"/>
      <c r="B22" s="22"/>
      <c r="C22" s="23"/>
      <c r="D22" s="24"/>
      <c r="E22" s="12"/>
      <c r="F22" s="12"/>
      <c r="G22" s="12"/>
      <c r="H22" s="31"/>
      <c r="I22" s="52"/>
      <c r="J22" s="24"/>
      <c r="K22" s="24"/>
      <c r="L22" s="24"/>
      <c r="M22" s="24"/>
      <c r="N22" s="24"/>
      <c r="O22" s="71"/>
      <c r="P22" s="24"/>
    </row>
    <row r="23" spans="1:16" x14ac:dyDescent="0.3">
      <c r="A23" s="288" t="s">
        <v>39</v>
      </c>
      <c r="B23" s="289"/>
      <c r="C23" s="290"/>
      <c r="D23" s="11"/>
      <c r="E23" s="82"/>
      <c r="F23" s="82"/>
      <c r="G23" s="82"/>
      <c r="H23" s="83"/>
      <c r="I23" s="93"/>
      <c r="J23" s="87"/>
      <c r="K23" s="87"/>
      <c r="L23" s="87"/>
      <c r="M23" s="87"/>
      <c r="N23" s="87"/>
      <c r="O23" s="103"/>
      <c r="P23" s="87"/>
    </row>
    <row r="24" spans="1:16" x14ac:dyDescent="0.3">
      <c r="A24" s="291" t="s">
        <v>55</v>
      </c>
      <c r="B24" s="292"/>
      <c r="C24" s="293"/>
      <c r="D24" s="11"/>
      <c r="E24" s="76"/>
      <c r="F24" s="76"/>
      <c r="G24" s="76"/>
      <c r="H24" s="80"/>
      <c r="I24" s="81">
        <f>SUM(E24:H24)</f>
        <v>0</v>
      </c>
      <c r="J24" s="16" t="s">
        <v>170</v>
      </c>
      <c r="K24" s="11"/>
      <c r="L24" s="11"/>
      <c r="M24" s="11"/>
      <c r="N24" s="12">
        <f>SUM(J24:M24)</f>
        <v>0</v>
      </c>
      <c r="O24" s="12">
        <f t="shared" si="0"/>
        <v>0</v>
      </c>
      <c r="P24" s="11"/>
    </row>
    <row r="25" spans="1:16" x14ac:dyDescent="0.3">
      <c r="A25" s="291" t="s">
        <v>53</v>
      </c>
      <c r="B25" s="292"/>
      <c r="C25" s="293"/>
      <c r="D25" s="11"/>
      <c r="E25" s="12"/>
      <c r="F25" s="12"/>
      <c r="G25" s="12"/>
      <c r="H25" s="26"/>
      <c r="I25" s="55">
        <f>SUM(E25:H25)</f>
        <v>0</v>
      </c>
      <c r="J25" s="16" t="s">
        <v>170</v>
      </c>
      <c r="K25" s="11"/>
      <c r="L25" s="11"/>
      <c r="M25" s="11"/>
      <c r="N25" s="12">
        <f t="shared" ref="N25:N26" si="1">SUM(J25:M25)</f>
        <v>0</v>
      </c>
      <c r="O25" s="12">
        <f t="shared" si="0"/>
        <v>0</v>
      </c>
      <c r="P25" s="11"/>
    </row>
    <row r="26" spans="1:16" x14ac:dyDescent="0.3">
      <c r="A26" s="17"/>
      <c r="B26" s="18"/>
      <c r="C26" s="35" t="s">
        <v>45</v>
      </c>
      <c r="D26" s="11"/>
      <c r="E26" s="12"/>
      <c r="F26" s="12"/>
      <c r="G26" s="12"/>
      <c r="H26" s="26"/>
      <c r="I26" s="55">
        <f>SUM(E26:H26)</f>
        <v>0</v>
      </c>
      <c r="J26" s="16">
        <v>1</v>
      </c>
      <c r="K26" s="11"/>
      <c r="L26" s="11"/>
      <c r="M26" s="11"/>
      <c r="N26" s="12">
        <f t="shared" si="1"/>
        <v>1</v>
      </c>
      <c r="O26" s="12">
        <f t="shared" si="0"/>
        <v>1</v>
      </c>
      <c r="P26" s="11"/>
    </row>
    <row r="27" spans="1:16" x14ac:dyDescent="0.3">
      <c r="A27" s="291" t="s">
        <v>54</v>
      </c>
      <c r="B27" s="292"/>
      <c r="C27" s="293"/>
      <c r="D27" s="11"/>
      <c r="E27" s="76"/>
      <c r="F27" s="76"/>
      <c r="G27" s="76"/>
      <c r="H27" s="80"/>
      <c r="I27" s="81">
        <f>SUM(E27:H27)</f>
        <v>0</v>
      </c>
      <c r="J27" s="16" t="s">
        <v>170</v>
      </c>
      <c r="K27" s="11"/>
      <c r="L27" s="11"/>
      <c r="M27" s="11"/>
      <c r="N27" s="12">
        <f>SUM(J27:M27)</f>
        <v>0</v>
      </c>
      <c r="O27" s="12">
        <f t="shared" si="0"/>
        <v>0</v>
      </c>
      <c r="P27" s="11"/>
    </row>
    <row r="28" spans="1:16" x14ac:dyDescent="0.3">
      <c r="A28" s="214"/>
      <c r="B28" s="215"/>
      <c r="C28" s="216"/>
      <c r="D28" s="11"/>
      <c r="E28" s="12"/>
      <c r="F28" s="12"/>
      <c r="G28" s="12"/>
      <c r="H28" s="26"/>
      <c r="I28" s="13"/>
      <c r="J28" s="11"/>
      <c r="K28" s="11"/>
      <c r="L28" s="11"/>
      <c r="M28" s="11"/>
      <c r="N28" s="11"/>
      <c r="O28" s="104"/>
      <c r="P28" s="11"/>
    </row>
    <row r="29" spans="1:16" x14ac:dyDescent="0.3">
      <c r="A29" s="208" t="s">
        <v>47</v>
      </c>
      <c r="B29" s="209"/>
      <c r="C29" s="210"/>
      <c r="D29" s="20">
        <v>310200000000000</v>
      </c>
      <c r="E29" s="34"/>
      <c r="F29" s="34"/>
      <c r="G29" s="34"/>
      <c r="H29" s="29"/>
      <c r="I29" s="51"/>
      <c r="J29" s="9"/>
      <c r="K29" s="9"/>
      <c r="L29" s="9"/>
      <c r="M29" s="9"/>
      <c r="N29" s="9"/>
      <c r="O29" s="71"/>
      <c r="P29" s="9"/>
    </row>
    <row r="30" spans="1:16" x14ac:dyDescent="0.3">
      <c r="A30" s="224" t="s">
        <v>48</v>
      </c>
      <c r="B30" s="225"/>
      <c r="C30" s="226"/>
      <c r="D30" s="11"/>
      <c r="E30" s="82"/>
      <c r="F30" s="82"/>
      <c r="G30" s="82"/>
      <c r="H30" s="83"/>
      <c r="I30" s="93"/>
      <c r="J30" s="87"/>
      <c r="K30" s="87"/>
      <c r="L30" s="87"/>
      <c r="M30" s="87"/>
      <c r="N30" s="87"/>
      <c r="O30" s="103"/>
      <c r="P30" s="87"/>
    </row>
    <row r="31" spans="1:16" s="10" customFormat="1" ht="31.75" customHeight="1" x14ac:dyDescent="0.3">
      <c r="A31" s="252" t="s">
        <v>49</v>
      </c>
      <c r="B31" s="253"/>
      <c r="C31" s="254"/>
      <c r="D31" s="16"/>
      <c r="E31" s="82"/>
      <c r="F31" s="82"/>
      <c r="G31" s="82"/>
      <c r="H31" s="83"/>
      <c r="I31" s="86"/>
      <c r="J31" s="86"/>
      <c r="K31" s="86"/>
      <c r="L31" s="86"/>
      <c r="M31" s="86"/>
      <c r="N31" s="86"/>
      <c r="O31" s="103"/>
      <c r="P31" s="86"/>
    </row>
    <row r="32" spans="1:16" ht="15.5" customHeight="1" x14ac:dyDescent="0.3">
      <c r="A32" s="211" t="s">
        <v>25</v>
      </c>
      <c r="B32" s="212"/>
      <c r="C32" s="213"/>
      <c r="D32" s="11"/>
      <c r="E32" s="82"/>
      <c r="F32" s="36"/>
      <c r="G32" s="82"/>
      <c r="H32" s="83"/>
      <c r="I32" s="92">
        <f>F32</f>
        <v>0</v>
      </c>
      <c r="J32" s="82"/>
      <c r="K32" s="36"/>
      <c r="L32" s="82"/>
      <c r="M32" s="83"/>
      <c r="N32" s="92">
        <f>K32</f>
        <v>0</v>
      </c>
      <c r="O32" s="71">
        <f t="shared" si="0"/>
        <v>0</v>
      </c>
      <c r="P32" s="11"/>
    </row>
    <row r="33" spans="1:16" ht="15.5" customHeight="1" x14ac:dyDescent="0.3">
      <c r="A33" s="14"/>
      <c r="B33" s="3"/>
      <c r="C33" s="15" t="s">
        <v>108</v>
      </c>
      <c r="D33" s="11"/>
      <c r="E33" s="82"/>
      <c r="F33" s="12"/>
      <c r="G33" s="82"/>
      <c r="H33" s="83"/>
      <c r="I33" s="13">
        <f t="shared" ref="I33:I39" si="2">F33</f>
        <v>0</v>
      </c>
      <c r="J33" s="82"/>
      <c r="K33" s="12"/>
      <c r="L33" s="82"/>
      <c r="M33" s="83"/>
      <c r="N33" s="13">
        <f t="shared" ref="N33:N39" si="3">K33</f>
        <v>0</v>
      </c>
      <c r="O33" s="12">
        <f t="shared" si="0"/>
        <v>0</v>
      </c>
      <c r="P33" s="11"/>
    </row>
    <row r="34" spans="1:16" ht="15.5" customHeight="1" x14ac:dyDescent="0.3">
      <c r="A34" s="14"/>
      <c r="B34" s="3"/>
      <c r="C34" s="70" t="s">
        <v>107</v>
      </c>
      <c r="D34" s="11"/>
      <c r="E34" s="82"/>
      <c r="F34" s="36"/>
      <c r="G34" s="82"/>
      <c r="H34" s="83"/>
      <c r="I34" s="92">
        <f t="shared" si="2"/>
        <v>0</v>
      </c>
      <c r="J34" s="82"/>
      <c r="K34" s="36"/>
      <c r="L34" s="82"/>
      <c r="M34" s="83"/>
      <c r="N34" s="92">
        <f t="shared" si="3"/>
        <v>0</v>
      </c>
      <c r="O34" s="71">
        <f t="shared" si="0"/>
        <v>0</v>
      </c>
      <c r="P34" s="11"/>
    </row>
    <row r="35" spans="1:16" ht="15.5" customHeight="1" x14ac:dyDescent="0.3">
      <c r="A35" s="14"/>
      <c r="B35" s="3"/>
      <c r="C35" s="15" t="s">
        <v>108</v>
      </c>
      <c r="D35" s="11"/>
      <c r="E35" s="82"/>
      <c r="F35" s="12"/>
      <c r="G35" s="82"/>
      <c r="H35" s="83"/>
      <c r="I35" s="13">
        <f t="shared" si="2"/>
        <v>0</v>
      </c>
      <c r="J35" s="82"/>
      <c r="K35" s="36"/>
      <c r="L35" s="82"/>
      <c r="M35" s="83"/>
      <c r="N35" s="13">
        <f t="shared" si="3"/>
        <v>0</v>
      </c>
      <c r="O35" s="12">
        <f t="shared" si="0"/>
        <v>0</v>
      </c>
      <c r="P35" s="11"/>
    </row>
    <row r="36" spans="1:16" ht="15.5" customHeight="1" x14ac:dyDescent="0.3">
      <c r="A36" s="211" t="s">
        <v>26</v>
      </c>
      <c r="B36" s="212"/>
      <c r="C36" s="213"/>
      <c r="D36" s="11"/>
      <c r="E36" s="82"/>
      <c r="F36" s="36"/>
      <c r="G36" s="82"/>
      <c r="H36" s="83"/>
      <c r="I36" s="92">
        <f t="shared" si="2"/>
        <v>0</v>
      </c>
      <c r="J36" s="82"/>
      <c r="K36" s="36"/>
      <c r="L36" s="82"/>
      <c r="M36" s="83"/>
      <c r="N36" s="92">
        <f t="shared" si="3"/>
        <v>0</v>
      </c>
      <c r="O36" s="71">
        <f t="shared" si="0"/>
        <v>0</v>
      </c>
      <c r="P36" s="11"/>
    </row>
    <row r="37" spans="1:16" ht="15.5" customHeight="1" x14ac:dyDescent="0.3">
      <c r="A37" s="14"/>
      <c r="B37" s="3"/>
      <c r="C37" s="15" t="s">
        <v>108</v>
      </c>
      <c r="D37" s="11"/>
      <c r="E37" s="82"/>
      <c r="F37" s="12"/>
      <c r="G37" s="82"/>
      <c r="H37" s="83"/>
      <c r="I37" s="13">
        <f t="shared" si="2"/>
        <v>0</v>
      </c>
      <c r="J37" s="82"/>
      <c r="K37" s="12"/>
      <c r="L37" s="82"/>
      <c r="M37" s="83"/>
      <c r="N37" s="13">
        <f t="shared" si="3"/>
        <v>0</v>
      </c>
      <c r="O37" s="12">
        <f t="shared" si="0"/>
        <v>0</v>
      </c>
      <c r="P37" s="11"/>
    </row>
    <row r="38" spans="1:16" ht="15.5" customHeight="1" x14ac:dyDescent="0.3">
      <c r="A38" s="211" t="s">
        <v>27</v>
      </c>
      <c r="B38" s="212"/>
      <c r="C38" s="213"/>
      <c r="D38" s="11"/>
      <c r="E38" s="82"/>
      <c r="F38" s="36"/>
      <c r="G38" s="82"/>
      <c r="H38" s="83"/>
      <c r="I38" s="92">
        <f t="shared" si="2"/>
        <v>0</v>
      </c>
      <c r="J38" s="82"/>
      <c r="K38" s="36"/>
      <c r="L38" s="82"/>
      <c r="M38" s="83"/>
      <c r="N38" s="92">
        <f t="shared" si="3"/>
        <v>0</v>
      </c>
      <c r="O38" s="71">
        <f t="shared" si="0"/>
        <v>0</v>
      </c>
      <c r="P38" s="11"/>
    </row>
    <row r="39" spans="1:16" ht="15.5" customHeight="1" x14ac:dyDescent="0.3">
      <c r="A39" s="14"/>
      <c r="B39" s="3"/>
      <c r="C39" s="15" t="s">
        <v>108</v>
      </c>
      <c r="D39" s="11"/>
      <c r="E39" s="82"/>
      <c r="F39" s="12"/>
      <c r="G39" s="82"/>
      <c r="H39" s="83"/>
      <c r="I39" s="13">
        <f t="shared" si="2"/>
        <v>0</v>
      </c>
      <c r="J39" s="82"/>
      <c r="K39" s="12"/>
      <c r="L39" s="82"/>
      <c r="M39" s="83"/>
      <c r="N39" s="13">
        <f t="shared" si="3"/>
        <v>0</v>
      </c>
      <c r="O39" s="12">
        <f t="shared" si="0"/>
        <v>0</v>
      </c>
      <c r="P39" s="11"/>
    </row>
    <row r="40" spans="1:16" ht="15.5" customHeight="1" x14ac:dyDescent="0.3">
      <c r="A40" s="14"/>
      <c r="B40" s="3"/>
      <c r="C40" s="15"/>
      <c r="D40" s="11"/>
      <c r="E40" s="12"/>
      <c r="F40" s="12"/>
      <c r="G40" s="12"/>
      <c r="H40" s="26"/>
      <c r="I40" s="13"/>
      <c r="J40" s="12"/>
      <c r="K40" s="12"/>
      <c r="L40" s="12"/>
      <c r="M40" s="26"/>
      <c r="N40" s="13"/>
      <c r="O40" s="71"/>
      <c r="P40" s="11"/>
    </row>
    <row r="41" spans="1:16" ht="25.25" customHeight="1" x14ac:dyDescent="0.3">
      <c r="A41" s="243" t="s">
        <v>46</v>
      </c>
      <c r="B41" s="244"/>
      <c r="C41" s="245"/>
      <c r="D41" s="16"/>
      <c r="E41" s="82"/>
      <c r="F41" s="82"/>
      <c r="G41" s="82"/>
      <c r="H41" s="83"/>
      <c r="I41" s="86"/>
      <c r="J41" s="82"/>
      <c r="K41" s="82"/>
      <c r="L41" s="82"/>
      <c r="M41" s="83"/>
      <c r="N41" s="86"/>
      <c r="O41" s="103"/>
      <c r="P41" s="86"/>
    </row>
    <row r="42" spans="1:16" ht="15.5" customHeight="1" x14ac:dyDescent="0.3">
      <c r="A42" s="304" t="s">
        <v>102</v>
      </c>
      <c r="B42" s="305"/>
      <c r="C42" s="306"/>
      <c r="D42" s="11"/>
      <c r="E42" s="82"/>
      <c r="F42" s="36"/>
      <c r="G42" s="82"/>
      <c r="H42" s="83"/>
      <c r="I42" s="92">
        <f>F42</f>
        <v>0</v>
      </c>
      <c r="J42" s="82"/>
      <c r="K42" s="94"/>
      <c r="L42" s="82"/>
      <c r="M42" s="83"/>
      <c r="N42" s="96">
        <f>K42</f>
        <v>0</v>
      </c>
      <c r="O42" s="71">
        <f t="shared" si="0"/>
        <v>0</v>
      </c>
      <c r="P42" s="11"/>
    </row>
    <row r="43" spans="1:16" ht="15.5" customHeight="1" x14ac:dyDescent="0.3">
      <c r="A43" s="46"/>
      <c r="B43" s="47"/>
      <c r="C43" s="15" t="s">
        <v>108</v>
      </c>
      <c r="D43" s="11"/>
      <c r="E43" s="82"/>
      <c r="F43" s="12"/>
      <c r="G43" s="82"/>
      <c r="H43" s="83"/>
      <c r="I43" s="13">
        <f t="shared" ref="I43:I53" si="4">F43</f>
        <v>0</v>
      </c>
      <c r="J43" s="82"/>
      <c r="K43" s="95"/>
      <c r="L43" s="82"/>
      <c r="M43" s="83"/>
      <c r="N43" s="13">
        <f t="shared" ref="N43:N53" si="5">K43</f>
        <v>0</v>
      </c>
      <c r="O43" s="12">
        <f t="shared" si="0"/>
        <v>0</v>
      </c>
      <c r="P43" s="11"/>
    </row>
    <row r="44" spans="1:16" ht="15.5" customHeight="1" x14ac:dyDescent="0.3">
      <c r="A44" s="304" t="s">
        <v>103</v>
      </c>
      <c r="B44" s="305"/>
      <c r="C44" s="306"/>
      <c r="D44" s="11"/>
      <c r="E44" s="82"/>
      <c r="F44" s="36"/>
      <c r="G44" s="82"/>
      <c r="H44" s="83"/>
      <c r="I44" s="92">
        <f t="shared" si="4"/>
        <v>0</v>
      </c>
      <c r="J44" s="82"/>
      <c r="K44" s="94"/>
      <c r="L44" s="82"/>
      <c r="M44" s="83"/>
      <c r="N44" s="96">
        <f t="shared" si="5"/>
        <v>0</v>
      </c>
      <c r="O44" s="71">
        <f t="shared" si="0"/>
        <v>0</v>
      </c>
      <c r="P44" s="11"/>
    </row>
    <row r="45" spans="1:16" ht="15.5" customHeight="1" x14ac:dyDescent="0.3">
      <c r="A45" s="46"/>
      <c r="B45" s="47"/>
      <c r="C45" s="15" t="s">
        <v>108</v>
      </c>
      <c r="D45" s="11"/>
      <c r="E45" s="82"/>
      <c r="F45" s="12"/>
      <c r="G45" s="82"/>
      <c r="H45" s="83"/>
      <c r="I45" s="13">
        <f t="shared" si="4"/>
        <v>0</v>
      </c>
      <c r="J45" s="82"/>
      <c r="K45" s="95"/>
      <c r="L45" s="82"/>
      <c r="M45" s="83"/>
      <c r="N45" s="13">
        <f t="shared" si="5"/>
        <v>0</v>
      </c>
      <c r="O45" s="12">
        <f t="shared" si="0"/>
        <v>0</v>
      </c>
      <c r="P45" s="11"/>
    </row>
    <row r="46" spans="1:16" ht="15.5" customHeight="1" x14ac:dyDescent="0.3">
      <c r="A46" s="304" t="s">
        <v>104</v>
      </c>
      <c r="B46" s="305"/>
      <c r="C46" s="306"/>
      <c r="D46" s="11"/>
      <c r="E46" s="82"/>
      <c r="F46" s="94"/>
      <c r="G46" s="82"/>
      <c r="H46" s="83"/>
      <c r="I46" s="92">
        <f t="shared" si="4"/>
        <v>0</v>
      </c>
      <c r="J46" s="82"/>
      <c r="K46" s="94"/>
      <c r="L46" s="82"/>
      <c r="M46" s="83"/>
      <c r="N46" s="96">
        <f t="shared" si="5"/>
        <v>0</v>
      </c>
      <c r="O46" s="71">
        <f t="shared" si="0"/>
        <v>0</v>
      </c>
      <c r="P46" s="11"/>
    </row>
    <row r="47" spans="1:16" ht="15.5" customHeight="1" x14ac:dyDescent="0.3">
      <c r="A47" s="46"/>
      <c r="B47" s="47"/>
      <c r="C47" s="15" t="s">
        <v>108</v>
      </c>
      <c r="D47" s="11"/>
      <c r="E47" s="82"/>
      <c r="F47" s="12"/>
      <c r="G47" s="82"/>
      <c r="H47" s="83"/>
      <c r="I47" s="13">
        <f t="shared" si="4"/>
        <v>0</v>
      </c>
      <c r="J47" s="82"/>
      <c r="K47" s="95"/>
      <c r="L47" s="82"/>
      <c r="M47" s="83"/>
      <c r="N47" s="13">
        <f t="shared" si="5"/>
        <v>0</v>
      </c>
      <c r="O47" s="12">
        <f t="shared" si="0"/>
        <v>0</v>
      </c>
      <c r="P47" s="11"/>
    </row>
    <row r="48" spans="1:16" ht="15.5" customHeight="1" x14ac:dyDescent="0.3">
      <c r="A48" s="304" t="s">
        <v>105</v>
      </c>
      <c r="B48" s="305"/>
      <c r="C48" s="306"/>
      <c r="D48" s="11"/>
      <c r="E48" s="82"/>
      <c r="F48" s="36"/>
      <c r="G48" s="82"/>
      <c r="H48" s="83"/>
      <c r="I48" s="92">
        <f t="shared" si="4"/>
        <v>0</v>
      </c>
      <c r="J48" s="82"/>
      <c r="K48" s="94"/>
      <c r="L48" s="82"/>
      <c r="M48" s="83"/>
      <c r="N48" s="96">
        <f t="shared" si="5"/>
        <v>0</v>
      </c>
      <c r="O48" s="71">
        <f t="shared" si="0"/>
        <v>0</v>
      </c>
      <c r="P48" s="11"/>
    </row>
    <row r="49" spans="1:16" ht="15.5" customHeight="1" x14ac:dyDescent="0.3">
      <c r="A49" s="46"/>
      <c r="B49" s="47"/>
      <c r="C49" s="15" t="s">
        <v>108</v>
      </c>
      <c r="D49" s="11"/>
      <c r="E49" s="82"/>
      <c r="F49" s="12"/>
      <c r="G49" s="82"/>
      <c r="H49" s="83"/>
      <c r="I49" s="13">
        <f t="shared" si="4"/>
        <v>0</v>
      </c>
      <c r="J49" s="82"/>
      <c r="K49" s="95"/>
      <c r="L49" s="82"/>
      <c r="M49" s="83"/>
      <c r="N49" s="13">
        <f t="shared" si="5"/>
        <v>0</v>
      </c>
      <c r="O49" s="12">
        <f t="shared" si="0"/>
        <v>0</v>
      </c>
      <c r="P49" s="11"/>
    </row>
    <row r="50" spans="1:16" ht="15.5" customHeight="1" x14ac:dyDescent="0.3">
      <c r="A50" s="304" t="s">
        <v>106</v>
      </c>
      <c r="B50" s="305"/>
      <c r="C50" s="306"/>
      <c r="D50" s="11"/>
      <c r="E50" s="82"/>
      <c r="F50" s="36"/>
      <c r="G50" s="82"/>
      <c r="H50" s="83"/>
      <c r="I50" s="92">
        <f t="shared" si="4"/>
        <v>0</v>
      </c>
      <c r="J50" s="82"/>
      <c r="K50" s="94"/>
      <c r="L50" s="82"/>
      <c r="M50" s="83"/>
      <c r="N50" s="96">
        <f t="shared" si="5"/>
        <v>0</v>
      </c>
      <c r="O50" s="71">
        <f t="shared" si="0"/>
        <v>0</v>
      </c>
      <c r="P50" s="11"/>
    </row>
    <row r="51" spans="1:16" ht="15.5" customHeight="1" x14ac:dyDescent="0.3">
      <c r="A51" s="46"/>
      <c r="B51" s="47"/>
      <c r="C51" s="15" t="s">
        <v>108</v>
      </c>
      <c r="D51" s="11"/>
      <c r="E51" s="82"/>
      <c r="F51" s="12"/>
      <c r="G51" s="82"/>
      <c r="H51" s="83"/>
      <c r="I51" s="13">
        <f t="shared" si="4"/>
        <v>0</v>
      </c>
      <c r="J51" s="82"/>
      <c r="K51" s="95"/>
      <c r="L51" s="82"/>
      <c r="M51" s="83"/>
      <c r="N51" s="13">
        <f t="shared" si="5"/>
        <v>0</v>
      </c>
      <c r="O51" s="12">
        <f t="shared" si="0"/>
        <v>0</v>
      </c>
      <c r="P51" s="11"/>
    </row>
    <row r="52" spans="1:16" ht="15.5" customHeight="1" x14ac:dyDescent="0.3">
      <c r="A52" s="304" t="s">
        <v>111</v>
      </c>
      <c r="B52" s="305"/>
      <c r="C52" s="306"/>
      <c r="D52" s="11"/>
      <c r="E52" s="82"/>
      <c r="F52" s="94"/>
      <c r="G52" s="82"/>
      <c r="H52" s="83"/>
      <c r="I52" s="92">
        <f t="shared" si="4"/>
        <v>0</v>
      </c>
      <c r="J52" s="82"/>
      <c r="K52" s="94"/>
      <c r="L52" s="82"/>
      <c r="M52" s="83"/>
      <c r="N52" s="96">
        <f t="shared" si="5"/>
        <v>0</v>
      </c>
      <c r="O52" s="71">
        <f t="shared" si="0"/>
        <v>0</v>
      </c>
      <c r="P52" s="11"/>
    </row>
    <row r="53" spans="1:16" ht="15.5" customHeight="1" x14ac:dyDescent="0.3">
      <c r="A53" s="37"/>
      <c r="B53" s="38"/>
      <c r="C53" s="15" t="s">
        <v>108</v>
      </c>
      <c r="D53" s="11"/>
      <c r="E53" s="82"/>
      <c r="F53" s="12"/>
      <c r="G53" s="82"/>
      <c r="H53" s="83"/>
      <c r="I53" s="13">
        <f t="shared" si="4"/>
        <v>0</v>
      </c>
      <c r="J53" s="82"/>
      <c r="K53" s="95"/>
      <c r="L53" s="82"/>
      <c r="M53" s="83"/>
      <c r="N53" s="13">
        <f t="shared" si="5"/>
        <v>0</v>
      </c>
      <c r="O53" s="12">
        <f t="shared" si="0"/>
        <v>0</v>
      </c>
      <c r="P53" s="11"/>
    </row>
    <row r="54" spans="1:16" ht="15.5" customHeight="1" x14ac:dyDescent="0.3">
      <c r="A54" s="37"/>
      <c r="B54" s="38"/>
      <c r="C54" s="39"/>
      <c r="D54" s="11"/>
      <c r="E54" s="12"/>
      <c r="F54" s="12"/>
      <c r="G54" s="12"/>
      <c r="H54" s="26"/>
      <c r="I54" s="13"/>
      <c r="J54" s="12"/>
      <c r="K54" s="12"/>
      <c r="L54" s="12"/>
      <c r="M54" s="26"/>
      <c r="N54" s="13"/>
      <c r="O54" s="71"/>
      <c r="P54" s="11"/>
    </row>
    <row r="55" spans="1:16" ht="25.75" customHeight="1" x14ac:dyDescent="0.3">
      <c r="A55" s="243" t="s">
        <v>52</v>
      </c>
      <c r="B55" s="244"/>
      <c r="C55" s="245"/>
      <c r="D55" s="16"/>
      <c r="E55" s="82"/>
      <c r="F55" s="82"/>
      <c r="G55" s="82"/>
      <c r="H55" s="83"/>
      <c r="I55" s="86"/>
      <c r="J55" s="82"/>
      <c r="K55" s="82"/>
      <c r="L55" s="82"/>
      <c r="M55" s="83"/>
      <c r="N55" s="86"/>
      <c r="O55" s="103"/>
      <c r="P55" s="86"/>
    </row>
    <row r="56" spans="1:16" ht="15.5" customHeight="1" x14ac:dyDescent="0.3">
      <c r="A56" s="246" t="s">
        <v>56</v>
      </c>
      <c r="B56" s="247"/>
      <c r="C56" s="248"/>
      <c r="D56" s="11"/>
      <c r="E56" s="82"/>
      <c r="F56" s="82"/>
      <c r="G56" s="82"/>
      <c r="H56" s="31"/>
      <c r="I56" s="92">
        <f>H56</f>
        <v>0</v>
      </c>
      <c r="J56" s="82"/>
      <c r="K56" s="82"/>
      <c r="L56" s="82"/>
      <c r="M56" s="31"/>
      <c r="N56" s="92">
        <f>M56</f>
        <v>0</v>
      </c>
      <c r="O56" s="71">
        <f t="shared" si="0"/>
        <v>0</v>
      </c>
      <c r="P56" s="11"/>
    </row>
    <row r="57" spans="1:16" ht="15.5" customHeight="1" x14ac:dyDescent="0.3">
      <c r="A57" s="40"/>
      <c r="B57" s="41"/>
      <c r="C57" s="15" t="s">
        <v>108</v>
      </c>
      <c r="D57" s="11"/>
      <c r="E57" s="82"/>
      <c r="F57" s="82"/>
      <c r="G57" s="82"/>
      <c r="H57" s="26"/>
      <c r="I57" s="13">
        <f t="shared" ref="I57:I61" si="6">H57</f>
        <v>0</v>
      </c>
      <c r="J57" s="82"/>
      <c r="K57" s="82"/>
      <c r="L57" s="82"/>
      <c r="M57" s="26"/>
      <c r="N57" s="13">
        <f t="shared" ref="N57:N61" si="7">M57</f>
        <v>0</v>
      </c>
      <c r="O57" s="12">
        <f t="shared" si="0"/>
        <v>0</v>
      </c>
      <c r="P57" s="11"/>
    </row>
    <row r="58" spans="1:16" ht="15.5" customHeight="1" x14ac:dyDescent="0.3">
      <c r="A58" s="246" t="s">
        <v>57</v>
      </c>
      <c r="B58" s="247"/>
      <c r="C58" s="248"/>
      <c r="D58" s="11"/>
      <c r="E58" s="82"/>
      <c r="F58" s="82"/>
      <c r="G58" s="82"/>
      <c r="H58" s="31"/>
      <c r="I58" s="92">
        <f t="shared" si="6"/>
        <v>0</v>
      </c>
      <c r="J58" s="82"/>
      <c r="K58" s="82"/>
      <c r="L58" s="82"/>
      <c r="M58" s="31"/>
      <c r="N58" s="92">
        <f t="shared" si="7"/>
        <v>0</v>
      </c>
      <c r="O58" s="71">
        <f t="shared" si="0"/>
        <v>0</v>
      </c>
      <c r="P58" s="11"/>
    </row>
    <row r="59" spans="1:16" ht="15.5" customHeight="1" x14ac:dyDescent="0.3">
      <c r="A59" s="40"/>
      <c r="B59" s="41"/>
      <c r="C59" s="15" t="s">
        <v>108</v>
      </c>
      <c r="D59" s="11"/>
      <c r="E59" s="82"/>
      <c r="F59" s="82"/>
      <c r="G59" s="82"/>
      <c r="H59" s="26"/>
      <c r="I59" s="13">
        <f t="shared" si="6"/>
        <v>0</v>
      </c>
      <c r="J59" s="82"/>
      <c r="K59" s="82"/>
      <c r="L59" s="82"/>
      <c r="M59" s="26"/>
      <c r="N59" s="13">
        <f t="shared" si="7"/>
        <v>0</v>
      </c>
      <c r="O59" s="12">
        <f t="shared" si="0"/>
        <v>0</v>
      </c>
      <c r="P59" s="11"/>
    </row>
    <row r="60" spans="1:16" ht="15.5" customHeight="1" x14ac:dyDescent="0.3">
      <c r="A60" s="246" t="s">
        <v>58</v>
      </c>
      <c r="B60" s="247"/>
      <c r="C60" s="248"/>
      <c r="D60" s="11"/>
      <c r="E60" s="82"/>
      <c r="F60" s="82"/>
      <c r="G60" s="82"/>
      <c r="H60" s="31"/>
      <c r="I60" s="92">
        <f t="shared" si="6"/>
        <v>0</v>
      </c>
      <c r="J60" s="82"/>
      <c r="K60" s="82"/>
      <c r="L60" s="82"/>
      <c r="M60" s="31"/>
      <c r="N60" s="92">
        <f t="shared" si="7"/>
        <v>0</v>
      </c>
      <c r="O60" s="71">
        <f t="shared" si="0"/>
        <v>0</v>
      </c>
      <c r="P60" s="11"/>
    </row>
    <row r="61" spans="1:16" ht="15.5" customHeight="1" x14ac:dyDescent="0.3">
      <c r="A61" s="40"/>
      <c r="B61" s="41"/>
      <c r="C61" s="15" t="s">
        <v>108</v>
      </c>
      <c r="D61" s="11"/>
      <c r="E61" s="82"/>
      <c r="F61" s="82"/>
      <c r="G61" s="82"/>
      <c r="H61" s="26"/>
      <c r="I61" s="13">
        <f t="shared" si="6"/>
        <v>0</v>
      </c>
      <c r="J61" s="82"/>
      <c r="K61" s="82"/>
      <c r="L61" s="82"/>
      <c r="M61" s="26"/>
      <c r="N61" s="13">
        <f t="shared" si="7"/>
        <v>0</v>
      </c>
      <c r="O61" s="12">
        <f t="shared" si="0"/>
        <v>0</v>
      </c>
      <c r="P61" s="11"/>
    </row>
    <row r="62" spans="1:16" ht="15.5" customHeight="1" x14ac:dyDescent="0.3">
      <c r="A62" s="214"/>
      <c r="B62" s="215"/>
      <c r="C62" s="216"/>
      <c r="D62" s="11"/>
      <c r="E62" s="12"/>
      <c r="F62" s="12"/>
      <c r="G62" s="12"/>
      <c r="H62" s="26"/>
      <c r="I62" s="13"/>
      <c r="J62" s="12"/>
      <c r="K62" s="12"/>
      <c r="L62" s="12"/>
      <c r="M62" s="26"/>
      <c r="N62" s="13"/>
      <c r="O62" s="71"/>
      <c r="P62" s="11"/>
    </row>
    <row r="63" spans="1:16" x14ac:dyDescent="0.3">
      <c r="A63" s="224" t="s">
        <v>59</v>
      </c>
      <c r="B63" s="225"/>
      <c r="C63" s="226"/>
      <c r="D63" s="11"/>
      <c r="E63" s="82"/>
      <c r="F63" s="82"/>
      <c r="G63" s="82"/>
      <c r="H63" s="83"/>
      <c r="I63" s="93"/>
      <c r="J63" s="82"/>
      <c r="K63" s="82"/>
      <c r="L63" s="82"/>
      <c r="M63" s="83"/>
      <c r="N63" s="93"/>
      <c r="O63" s="103"/>
      <c r="P63" s="87"/>
    </row>
    <row r="64" spans="1:16" x14ac:dyDescent="0.3">
      <c r="A64" s="295" t="s">
        <v>67</v>
      </c>
      <c r="B64" s="296"/>
      <c r="C64" s="297"/>
      <c r="D64" s="11"/>
      <c r="E64" s="82"/>
      <c r="F64" s="82"/>
      <c r="G64" s="82"/>
      <c r="H64" s="83"/>
      <c r="I64" s="93"/>
      <c r="J64" s="82"/>
      <c r="K64" s="82"/>
      <c r="L64" s="82"/>
      <c r="M64" s="83"/>
      <c r="N64" s="93"/>
      <c r="O64" s="103"/>
      <c r="P64" s="87"/>
    </row>
    <row r="65" spans="1:16" ht="15.5" customHeight="1" x14ac:dyDescent="0.3">
      <c r="A65" s="308" t="s">
        <v>68</v>
      </c>
      <c r="B65" s="309"/>
      <c r="C65" s="310"/>
      <c r="D65" s="11"/>
      <c r="E65" s="82"/>
      <c r="F65" s="82"/>
      <c r="G65" s="12"/>
      <c r="H65" s="26"/>
      <c r="I65" s="13">
        <f>SUM(G65:H65)</f>
        <v>0</v>
      </c>
      <c r="J65" s="12">
        <v>0</v>
      </c>
      <c r="K65" s="12"/>
      <c r="L65" s="12"/>
      <c r="M65" s="26"/>
      <c r="N65" s="13">
        <f>SUM(L65:M65)</f>
        <v>0</v>
      </c>
      <c r="O65" s="12">
        <f t="shared" si="0"/>
        <v>0</v>
      </c>
      <c r="P65" s="11"/>
    </row>
    <row r="66" spans="1:16" ht="15.5" customHeight="1" x14ac:dyDescent="0.3">
      <c r="A66" s="308" t="s">
        <v>69</v>
      </c>
      <c r="B66" s="309"/>
      <c r="C66" s="310"/>
      <c r="D66" s="11"/>
      <c r="E66" s="85"/>
      <c r="F66" s="85"/>
      <c r="G66" s="56"/>
      <c r="H66" s="60"/>
      <c r="I66" s="13">
        <f>SUM(G66:H66)</f>
        <v>0</v>
      </c>
      <c r="J66" s="12">
        <v>4</v>
      </c>
      <c r="K66" s="56"/>
      <c r="L66" s="56"/>
      <c r="M66" s="60"/>
      <c r="N66" s="13">
        <f>SUM(L66:M66)</f>
        <v>0</v>
      </c>
      <c r="O66" s="12">
        <f t="shared" si="0"/>
        <v>0</v>
      </c>
      <c r="P66" s="11" t="s">
        <v>212</v>
      </c>
    </row>
    <row r="67" spans="1:16" ht="27.65" customHeight="1" x14ac:dyDescent="0.3">
      <c r="A67" s="311" t="s">
        <v>66</v>
      </c>
      <c r="B67" s="312"/>
      <c r="C67" s="313"/>
      <c r="D67" s="16"/>
      <c r="E67" s="12"/>
      <c r="F67" s="61"/>
      <c r="G67" s="61"/>
      <c r="H67" s="63"/>
      <c r="I67" s="61">
        <f>SUM(E67:H67)</f>
        <v>0</v>
      </c>
      <c r="J67" s="12" t="s">
        <v>170</v>
      </c>
      <c r="K67" s="61"/>
      <c r="L67" s="61"/>
      <c r="M67" s="63"/>
      <c r="N67" s="61">
        <f>SUM(J67:M67)</f>
        <v>0</v>
      </c>
      <c r="O67" s="12">
        <f t="shared" si="0"/>
        <v>0</v>
      </c>
      <c r="P67" s="16"/>
    </row>
    <row r="68" spans="1:16" ht="15.5" customHeight="1" x14ac:dyDescent="0.3">
      <c r="A68" s="43"/>
      <c r="B68" s="44"/>
      <c r="C68" s="45"/>
      <c r="D68" s="16"/>
      <c r="E68" s="12"/>
      <c r="F68" s="12"/>
      <c r="G68" s="12"/>
      <c r="H68" s="26"/>
      <c r="I68" s="13"/>
      <c r="J68" s="12"/>
      <c r="K68" s="12"/>
      <c r="L68" s="12"/>
      <c r="M68" s="26"/>
      <c r="N68" s="13"/>
      <c r="O68" s="71"/>
      <c r="P68" s="16"/>
    </row>
    <row r="69" spans="1:16" x14ac:dyDescent="0.3">
      <c r="A69" s="295" t="s">
        <v>70</v>
      </c>
      <c r="B69" s="296"/>
      <c r="C69" s="297"/>
      <c r="D69" s="11"/>
      <c r="E69" s="82"/>
      <c r="F69" s="82"/>
      <c r="G69" s="82"/>
      <c r="H69" s="83"/>
      <c r="I69" s="93"/>
      <c r="J69" s="82"/>
      <c r="K69" s="82"/>
      <c r="L69" s="82"/>
      <c r="M69" s="83"/>
      <c r="N69" s="93"/>
      <c r="O69" s="103"/>
      <c r="P69" s="87"/>
    </row>
    <row r="70" spans="1:16" ht="15.5" customHeight="1" x14ac:dyDescent="0.3">
      <c r="A70" s="308" t="s">
        <v>74</v>
      </c>
      <c r="B70" s="309"/>
      <c r="C70" s="310"/>
      <c r="D70" s="11"/>
      <c r="E70" s="61"/>
      <c r="F70" s="61"/>
      <c r="G70" s="61"/>
      <c r="H70" s="61"/>
      <c r="I70" s="62">
        <f>SUM(E70:H70)</f>
        <v>0</v>
      </c>
      <c r="J70" s="61">
        <v>169</v>
      </c>
      <c r="K70" s="61"/>
      <c r="L70" s="61"/>
      <c r="M70" s="61"/>
      <c r="N70" s="62">
        <f>SUM(J70:M70)</f>
        <v>169</v>
      </c>
      <c r="O70" s="12">
        <f t="shared" si="0"/>
        <v>169</v>
      </c>
      <c r="P70" s="11"/>
    </row>
    <row r="71" spans="1:16" ht="15.5" customHeight="1" x14ac:dyDescent="0.3">
      <c r="A71" s="308" t="s">
        <v>71</v>
      </c>
      <c r="B71" s="309"/>
      <c r="C71" s="310"/>
      <c r="D71" s="11"/>
      <c r="E71" s="61"/>
      <c r="F71" s="61"/>
      <c r="G71" s="61"/>
      <c r="H71" s="63"/>
      <c r="I71" s="62">
        <f t="shared" ref="I71:I72" si="8">SUM(E71:H71)</f>
        <v>0</v>
      </c>
      <c r="J71" s="61" t="s">
        <v>170</v>
      </c>
      <c r="K71" s="61"/>
      <c r="L71" s="61"/>
      <c r="M71" s="63"/>
      <c r="N71" s="62">
        <f t="shared" ref="N71:N72" si="9">SUM(J71:M71)</f>
        <v>0</v>
      </c>
      <c r="O71" s="12">
        <f t="shared" si="0"/>
        <v>0</v>
      </c>
      <c r="P71" s="11"/>
    </row>
    <row r="72" spans="1:16" ht="15.5" customHeight="1" x14ac:dyDescent="0.3">
      <c r="A72" s="308" t="s">
        <v>72</v>
      </c>
      <c r="B72" s="309"/>
      <c r="C72" s="310"/>
      <c r="D72" s="11"/>
      <c r="E72" s="12"/>
      <c r="F72" s="12"/>
      <c r="G72" s="12"/>
      <c r="H72" s="26"/>
      <c r="I72" s="62">
        <f t="shared" si="8"/>
        <v>0</v>
      </c>
      <c r="J72" s="12" t="s">
        <v>170</v>
      </c>
      <c r="K72" s="12"/>
      <c r="L72" s="12"/>
      <c r="M72" s="26"/>
      <c r="N72" s="62">
        <f t="shared" si="9"/>
        <v>0</v>
      </c>
      <c r="O72" s="12">
        <f t="shared" si="0"/>
        <v>0</v>
      </c>
      <c r="P72" s="11"/>
    </row>
    <row r="73" spans="1:16" ht="15.5" customHeight="1" x14ac:dyDescent="0.3">
      <c r="A73" s="214"/>
      <c r="B73" s="215"/>
      <c r="C73" s="216"/>
      <c r="D73" s="11"/>
      <c r="E73" s="12"/>
      <c r="F73" s="12"/>
      <c r="G73" s="12"/>
      <c r="H73" s="26"/>
      <c r="I73" s="62"/>
      <c r="J73" s="12"/>
      <c r="K73" s="12"/>
      <c r="L73" s="12"/>
      <c r="M73" s="26"/>
      <c r="N73" s="62"/>
      <c r="O73" s="12"/>
      <c r="P73" s="11"/>
    </row>
    <row r="74" spans="1:16" x14ac:dyDescent="0.3">
      <c r="A74" s="295" t="s">
        <v>73</v>
      </c>
      <c r="B74" s="296"/>
      <c r="C74" s="297"/>
      <c r="D74" s="11"/>
      <c r="E74" s="12"/>
      <c r="F74" s="12"/>
      <c r="G74" s="12"/>
      <c r="H74" s="26"/>
      <c r="I74" s="62">
        <f>SUM(E74:H74)</f>
        <v>0</v>
      </c>
      <c r="J74" s="12" t="s">
        <v>170</v>
      </c>
      <c r="K74" s="12"/>
      <c r="L74" s="12"/>
      <c r="M74" s="26"/>
      <c r="N74" s="62">
        <f>SUM(J74:M74)</f>
        <v>0</v>
      </c>
      <c r="O74" s="12">
        <f t="shared" si="0"/>
        <v>0</v>
      </c>
      <c r="P74" s="11"/>
    </row>
    <row r="75" spans="1:16" ht="15.5" customHeight="1" x14ac:dyDescent="0.3">
      <c r="A75" s="214"/>
      <c r="B75" s="215"/>
      <c r="C75" s="216"/>
      <c r="D75" s="11"/>
      <c r="E75" s="12"/>
      <c r="F75" s="12"/>
      <c r="G75" s="12"/>
      <c r="H75" s="26"/>
      <c r="I75" s="13"/>
      <c r="J75" s="12"/>
      <c r="K75" s="12"/>
      <c r="L75" s="12"/>
      <c r="M75" s="26"/>
      <c r="N75" s="13"/>
      <c r="O75" s="104"/>
      <c r="P75" s="11"/>
    </row>
    <row r="76" spans="1:16" x14ac:dyDescent="0.3">
      <c r="A76" s="208" t="s">
        <v>42</v>
      </c>
      <c r="B76" s="209"/>
      <c r="C76" s="210"/>
      <c r="D76" s="19">
        <v>310300000000000</v>
      </c>
      <c r="E76" s="34"/>
      <c r="F76" s="34"/>
      <c r="G76" s="34"/>
      <c r="H76" s="29"/>
      <c r="I76" s="51"/>
      <c r="J76" s="34"/>
      <c r="K76" s="34"/>
      <c r="L76" s="34"/>
      <c r="M76" s="29"/>
      <c r="N76" s="51"/>
      <c r="O76" s="71"/>
      <c r="P76" s="9"/>
    </row>
    <row r="77" spans="1:16" x14ac:dyDescent="0.3">
      <c r="A77" s="211" t="s">
        <v>23</v>
      </c>
      <c r="B77" s="212"/>
      <c r="C77" s="213"/>
      <c r="D77" s="11"/>
      <c r="E77" s="82"/>
      <c r="F77" s="82"/>
      <c r="G77" s="82"/>
      <c r="H77" s="83"/>
      <c r="I77" s="93"/>
      <c r="J77" s="82"/>
      <c r="K77" s="82"/>
      <c r="L77" s="82"/>
      <c r="M77" s="83"/>
      <c r="N77" s="93"/>
      <c r="O77" s="103"/>
      <c r="P77" s="87"/>
    </row>
    <row r="78" spans="1:16" ht="12.65" customHeight="1" x14ac:dyDescent="0.3">
      <c r="A78" s="243" t="s">
        <v>77</v>
      </c>
      <c r="B78" s="244"/>
      <c r="C78" s="245"/>
      <c r="D78" s="16"/>
      <c r="E78" s="82"/>
      <c r="F78" s="82"/>
      <c r="G78" s="82"/>
      <c r="H78" s="83"/>
      <c r="I78" s="86"/>
      <c r="J78" s="82"/>
      <c r="K78" s="82"/>
      <c r="L78" s="82"/>
      <c r="M78" s="83"/>
      <c r="N78" s="86"/>
      <c r="O78" s="103"/>
      <c r="P78" s="86"/>
    </row>
    <row r="79" spans="1:16" ht="15" customHeight="1" x14ac:dyDescent="0.3">
      <c r="A79" s="246" t="s">
        <v>78</v>
      </c>
      <c r="B79" s="247"/>
      <c r="C79" s="248"/>
      <c r="D79" s="11"/>
      <c r="E79" s="82"/>
      <c r="F79" s="82"/>
      <c r="G79" s="82"/>
      <c r="H79" s="65"/>
      <c r="I79" s="66">
        <f>H79</f>
        <v>0</v>
      </c>
      <c r="J79" s="82"/>
      <c r="K79" s="82"/>
      <c r="L79" s="82"/>
      <c r="M79" s="65"/>
      <c r="N79" s="66">
        <f>M79</f>
        <v>0</v>
      </c>
      <c r="O79" s="71">
        <f t="shared" si="0"/>
        <v>0</v>
      </c>
      <c r="P79" s="11"/>
    </row>
    <row r="80" spans="1:16" ht="15" customHeight="1" x14ac:dyDescent="0.3">
      <c r="A80" s="40"/>
      <c r="B80" s="41"/>
      <c r="C80" s="15" t="s">
        <v>108</v>
      </c>
      <c r="D80" s="11"/>
      <c r="E80" s="82"/>
      <c r="F80" s="82"/>
      <c r="G80" s="82"/>
      <c r="H80" s="63"/>
      <c r="I80" s="99">
        <f t="shared" ref="I80:I86" si="10">H80</f>
        <v>0</v>
      </c>
      <c r="J80" s="82"/>
      <c r="K80" s="82"/>
      <c r="L80" s="82"/>
      <c r="M80" s="63"/>
      <c r="N80" s="99">
        <f t="shared" ref="N80:N86" si="11">M80</f>
        <v>0</v>
      </c>
      <c r="O80" s="12">
        <f t="shared" si="0"/>
        <v>0</v>
      </c>
      <c r="P80" s="11"/>
    </row>
    <row r="81" spans="1:16" ht="30" customHeight="1" x14ac:dyDescent="0.3">
      <c r="A81" s="258" t="s">
        <v>76</v>
      </c>
      <c r="B81" s="259"/>
      <c r="C81" s="260"/>
      <c r="D81" s="11"/>
      <c r="E81" s="82"/>
      <c r="F81" s="82"/>
      <c r="G81" s="82"/>
      <c r="H81" s="65"/>
      <c r="I81" s="66">
        <f t="shared" si="10"/>
        <v>0</v>
      </c>
      <c r="J81" s="82"/>
      <c r="K81" s="82"/>
      <c r="L81" s="82"/>
      <c r="M81" s="65"/>
      <c r="N81" s="66">
        <f t="shared" si="11"/>
        <v>0</v>
      </c>
      <c r="O81" s="71">
        <f t="shared" si="0"/>
        <v>0</v>
      </c>
      <c r="P81" s="11"/>
    </row>
    <row r="82" spans="1:16" ht="15.5" customHeight="1" x14ac:dyDescent="0.3">
      <c r="A82" s="40"/>
      <c r="B82" s="41"/>
      <c r="C82" s="15" t="s">
        <v>108</v>
      </c>
      <c r="D82" s="11"/>
      <c r="E82" s="82"/>
      <c r="F82" s="82"/>
      <c r="G82" s="82"/>
      <c r="H82" s="63"/>
      <c r="I82" s="99">
        <f t="shared" si="10"/>
        <v>0</v>
      </c>
      <c r="J82" s="82"/>
      <c r="K82" s="82"/>
      <c r="L82" s="82"/>
      <c r="M82" s="63"/>
      <c r="N82" s="99">
        <f t="shared" si="11"/>
        <v>0</v>
      </c>
      <c r="O82" s="12">
        <f t="shared" si="0"/>
        <v>0</v>
      </c>
      <c r="P82" s="11"/>
    </row>
    <row r="83" spans="1:16" ht="15.5" customHeight="1" x14ac:dyDescent="0.3">
      <c r="A83" s="246" t="s">
        <v>79</v>
      </c>
      <c r="B83" s="247"/>
      <c r="C83" s="248"/>
      <c r="D83" s="11"/>
      <c r="E83" s="82"/>
      <c r="F83" s="82"/>
      <c r="G83" s="82"/>
      <c r="H83" s="65"/>
      <c r="I83" s="66">
        <f t="shared" si="10"/>
        <v>0</v>
      </c>
      <c r="J83" s="82"/>
      <c r="K83" s="82"/>
      <c r="L83" s="82"/>
      <c r="M83" s="65"/>
      <c r="N83" s="66">
        <f t="shared" si="11"/>
        <v>0</v>
      </c>
      <c r="O83" s="71">
        <f t="shared" si="0"/>
        <v>0</v>
      </c>
      <c r="P83" s="11"/>
    </row>
    <row r="84" spans="1:16" ht="15.5" customHeight="1" x14ac:dyDescent="0.3">
      <c r="A84" s="40"/>
      <c r="B84" s="41"/>
      <c r="C84" s="15" t="s">
        <v>108</v>
      </c>
      <c r="D84" s="11"/>
      <c r="E84" s="82"/>
      <c r="F84" s="82"/>
      <c r="G84" s="82"/>
      <c r="H84" s="63"/>
      <c r="I84" s="99">
        <f t="shared" si="10"/>
        <v>0</v>
      </c>
      <c r="J84" s="82"/>
      <c r="K84" s="82"/>
      <c r="L84" s="82"/>
      <c r="M84" s="63"/>
      <c r="N84" s="99">
        <f t="shared" si="11"/>
        <v>0</v>
      </c>
      <c r="O84" s="12">
        <f t="shared" si="0"/>
        <v>0</v>
      </c>
      <c r="P84" s="11"/>
    </row>
    <row r="85" spans="1:16" ht="15.5" customHeight="1" x14ac:dyDescent="0.3">
      <c r="A85" s="246" t="s">
        <v>81</v>
      </c>
      <c r="B85" s="247"/>
      <c r="C85" s="248"/>
      <c r="D85" s="11"/>
      <c r="E85" s="82"/>
      <c r="F85" s="82"/>
      <c r="G85" s="82"/>
      <c r="H85" s="65"/>
      <c r="I85" s="66">
        <f t="shared" si="10"/>
        <v>0</v>
      </c>
      <c r="J85" s="82"/>
      <c r="K85" s="82"/>
      <c r="L85" s="82"/>
      <c r="M85" s="65"/>
      <c r="N85" s="66">
        <f t="shared" si="11"/>
        <v>0</v>
      </c>
      <c r="O85" s="71">
        <f t="shared" ref="O85:O128" si="12">N85-I85</f>
        <v>0</v>
      </c>
      <c r="P85" s="11"/>
    </row>
    <row r="86" spans="1:16" ht="15.5" customHeight="1" x14ac:dyDescent="0.3">
      <c r="A86" s="37"/>
      <c r="B86" s="38"/>
      <c r="C86" s="15" t="s">
        <v>108</v>
      </c>
      <c r="D86" s="11"/>
      <c r="E86" s="82"/>
      <c r="F86" s="82"/>
      <c r="G86" s="82"/>
      <c r="H86" s="63"/>
      <c r="I86" s="99">
        <f t="shared" si="10"/>
        <v>0</v>
      </c>
      <c r="J86" s="82"/>
      <c r="K86" s="82"/>
      <c r="L86" s="82"/>
      <c r="M86" s="63"/>
      <c r="N86" s="99">
        <f t="shared" si="11"/>
        <v>0</v>
      </c>
      <c r="O86" s="12">
        <f t="shared" si="12"/>
        <v>0</v>
      </c>
      <c r="P86" s="11"/>
    </row>
    <row r="87" spans="1:16" ht="15.5" customHeight="1" x14ac:dyDescent="0.3">
      <c r="A87" s="214"/>
      <c r="B87" s="215"/>
      <c r="C87" s="216"/>
      <c r="D87" s="11"/>
      <c r="E87" s="12"/>
      <c r="F87" s="12"/>
      <c r="G87" s="12"/>
      <c r="H87" s="63"/>
      <c r="I87" s="13"/>
      <c r="J87" s="12"/>
      <c r="K87" s="12"/>
      <c r="L87" s="12"/>
      <c r="M87" s="63"/>
      <c r="N87" s="13"/>
      <c r="O87" s="71"/>
      <c r="P87" s="11"/>
    </row>
    <row r="88" spans="1:16" ht="13" customHeight="1" x14ac:dyDescent="0.3">
      <c r="A88" s="261" t="s">
        <v>80</v>
      </c>
      <c r="B88" s="262"/>
      <c r="C88" s="263"/>
      <c r="D88" s="16"/>
      <c r="E88" s="82"/>
      <c r="F88" s="82"/>
      <c r="G88" s="82"/>
      <c r="H88" s="64"/>
      <c r="I88" s="66">
        <f>H88</f>
        <v>0</v>
      </c>
      <c r="J88" s="82"/>
      <c r="K88" s="82"/>
      <c r="L88" s="82"/>
      <c r="M88" s="64"/>
      <c r="N88" s="66">
        <f>M88</f>
        <v>0</v>
      </c>
      <c r="O88" s="71">
        <f t="shared" si="12"/>
        <v>0</v>
      </c>
      <c r="P88" s="16"/>
    </row>
    <row r="89" spans="1:16" ht="15.5" customHeight="1" x14ac:dyDescent="0.3">
      <c r="A89" s="214"/>
      <c r="B89" s="215"/>
      <c r="C89" s="216"/>
      <c r="D89" s="11"/>
      <c r="E89" s="12"/>
      <c r="F89" s="12"/>
      <c r="G89" s="12"/>
      <c r="H89" s="26"/>
      <c r="I89" s="13"/>
      <c r="J89" s="12"/>
      <c r="K89" s="12"/>
      <c r="L89" s="12"/>
      <c r="M89" s="26"/>
      <c r="N89" s="13"/>
      <c r="O89" s="71"/>
      <c r="P89" s="11"/>
    </row>
    <row r="90" spans="1:16" x14ac:dyDescent="0.3">
      <c r="A90" s="264" t="s">
        <v>59</v>
      </c>
      <c r="B90" s="265"/>
      <c r="C90" s="266"/>
      <c r="D90" s="11"/>
      <c r="E90" s="82"/>
      <c r="F90" s="82"/>
      <c r="G90" s="82"/>
      <c r="H90" s="83"/>
      <c r="I90" s="93"/>
      <c r="J90" s="82"/>
      <c r="K90" s="82"/>
      <c r="L90" s="82"/>
      <c r="M90" s="83"/>
      <c r="N90" s="93"/>
      <c r="O90" s="103"/>
      <c r="P90" s="87"/>
    </row>
    <row r="91" spans="1:16" x14ac:dyDescent="0.3">
      <c r="A91" s="264" t="s">
        <v>82</v>
      </c>
      <c r="B91" s="265"/>
      <c r="C91" s="266"/>
      <c r="D91" s="11"/>
      <c r="E91" s="82"/>
      <c r="F91" s="82"/>
      <c r="G91" s="82"/>
      <c r="H91" s="83"/>
      <c r="I91" s="93"/>
      <c r="J91" s="82"/>
      <c r="K91" s="82"/>
      <c r="L91" s="82"/>
      <c r="M91" s="83"/>
      <c r="N91" s="93"/>
      <c r="O91" s="103"/>
      <c r="P91" s="87"/>
    </row>
    <row r="92" spans="1:16" ht="15.5" customHeight="1" x14ac:dyDescent="0.3">
      <c r="A92" s="246" t="s">
        <v>83</v>
      </c>
      <c r="B92" s="247"/>
      <c r="C92" s="248"/>
      <c r="D92" s="11"/>
      <c r="E92" s="82"/>
      <c r="F92" s="82"/>
      <c r="G92" s="26"/>
      <c r="H92" s="83"/>
      <c r="I92" s="13">
        <f>G92</f>
        <v>0</v>
      </c>
      <c r="J92" s="82"/>
      <c r="K92" s="82"/>
      <c r="L92" s="26"/>
      <c r="M92" s="83"/>
      <c r="N92" s="13">
        <f>L92</f>
        <v>0</v>
      </c>
      <c r="O92" s="12">
        <f t="shared" si="12"/>
        <v>0</v>
      </c>
      <c r="P92" s="11"/>
    </row>
    <row r="93" spans="1:16" ht="15.5" customHeight="1" x14ac:dyDescent="0.3">
      <c r="A93" s="246" t="s">
        <v>84</v>
      </c>
      <c r="B93" s="247"/>
      <c r="C93" s="248"/>
      <c r="D93" s="11"/>
      <c r="E93" s="82"/>
      <c r="F93" s="82"/>
      <c r="G93" s="26"/>
      <c r="H93" s="83"/>
      <c r="I93" s="13">
        <f t="shared" ref="I93:I96" si="13">G93</f>
        <v>0</v>
      </c>
      <c r="J93" s="82"/>
      <c r="K93" s="82"/>
      <c r="L93" s="26"/>
      <c r="M93" s="83"/>
      <c r="N93" s="13">
        <f t="shared" ref="N93:N96" si="14">L93</f>
        <v>0</v>
      </c>
      <c r="O93" s="12">
        <f t="shared" si="12"/>
        <v>0</v>
      </c>
      <c r="P93" s="11"/>
    </row>
    <row r="94" spans="1:16" ht="15.5" customHeight="1" x14ac:dyDescent="0.3">
      <c r="A94" s="246" t="s">
        <v>85</v>
      </c>
      <c r="B94" s="247"/>
      <c r="C94" s="248"/>
      <c r="D94" s="11"/>
      <c r="E94" s="82"/>
      <c r="F94" s="82"/>
      <c r="G94" s="26"/>
      <c r="H94" s="83"/>
      <c r="I94" s="13">
        <f t="shared" si="13"/>
        <v>0</v>
      </c>
      <c r="J94" s="82"/>
      <c r="K94" s="82"/>
      <c r="L94" s="26"/>
      <c r="M94" s="83"/>
      <c r="N94" s="13">
        <f t="shared" si="14"/>
        <v>0</v>
      </c>
      <c r="O94" s="12">
        <f t="shared" si="12"/>
        <v>0</v>
      </c>
      <c r="P94" s="11"/>
    </row>
    <row r="95" spans="1:16" ht="34.75" customHeight="1" x14ac:dyDescent="0.3">
      <c r="A95" s="252" t="s">
        <v>112</v>
      </c>
      <c r="B95" s="253"/>
      <c r="C95" s="254"/>
      <c r="D95" s="11"/>
      <c r="E95" s="82"/>
      <c r="F95" s="82"/>
      <c r="G95" s="26"/>
      <c r="H95" s="83"/>
      <c r="I95" s="13">
        <f t="shared" si="13"/>
        <v>0</v>
      </c>
      <c r="J95" s="82"/>
      <c r="K95" s="82"/>
      <c r="L95" s="26"/>
      <c r="M95" s="83"/>
      <c r="N95" s="13">
        <f t="shared" si="14"/>
        <v>0</v>
      </c>
      <c r="O95" s="12">
        <f t="shared" si="12"/>
        <v>0</v>
      </c>
      <c r="P95" s="11"/>
    </row>
    <row r="96" spans="1:16" x14ac:dyDescent="0.3">
      <c r="A96" s="252" t="s">
        <v>65</v>
      </c>
      <c r="B96" s="253"/>
      <c r="C96" s="254"/>
      <c r="D96" s="11"/>
      <c r="E96" s="82"/>
      <c r="F96" s="82"/>
      <c r="G96" s="68"/>
      <c r="H96" s="84"/>
      <c r="I96" s="13">
        <f t="shared" si="13"/>
        <v>0</v>
      </c>
      <c r="J96" s="82"/>
      <c r="K96" s="82"/>
      <c r="L96" s="68"/>
      <c r="M96" s="84"/>
      <c r="N96" s="13">
        <f t="shared" si="14"/>
        <v>0</v>
      </c>
      <c r="O96" s="12">
        <f t="shared" si="12"/>
        <v>0</v>
      </c>
      <c r="P96" s="11"/>
    </row>
    <row r="97" spans="1:16" x14ac:dyDescent="0.3">
      <c r="A97" s="211"/>
      <c r="B97" s="212"/>
      <c r="C97" s="213"/>
      <c r="D97" s="11"/>
      <c r="E97" s="12"/>
      <c r="F97" s="12"/>
      <c r="G97" s="12"/>
      <c r="H97" s="26"/>
      <c r="I97" s="16"/>
      <c r="J97" s="12"/>
      <c r="K97" s="12"/>
      <c r="L97" s="12"/>
      <c r="M97" s="26"/>
      <c r="N97" s="16"/>
      <c r="O97" s="104"/>
      <c r="P97" s="11"/>
    </row>
    <row r="98" spans="1:16" x14ac:dyDescent="0.3">
      <c r="A98" s="208" t="s">
        <v>41</v>
      </c>
      <c r="B98" s="209"/>
      <c r="C98" s="210"/>
      <c r="D98" s="19">
        <v>310400000000000</v>
      </c>
      <c r="E98" s="34"/>
      <c r="F98" s="34"/>
      <c r="G98" s="34"/>
      <c r="H98" s="29"/>
      <c r="I98" s="51"/>
      <c r="J98" s="9"/>
      <c r="K98" s="9"/>
      <c r="L98" s="9"/>
      <c r="M98" s="9"/>
      <c r="N98" s="9"/>
      <c r="O98" s="71"/>
      <c r="P98" s="9"/>
    </row>
    <row r="99" spans="1:16" x14ac:dyDescent="0.3">
      <c r="A99" s="211" t="s">
        <v>86</v>
      </c>
      <c r="B99" s="212"/>
      <c r="C99" s="213"/>
      <c r="D99" s="11"/>
      <c r="E99" s="82"/>
      <c r="F99" s="82"/>
      <c r="G99" s="82"/>
      <c r="H99" s="83"/>
      <c r="I99" s="93"/>
      <c r="J99" s="87"/>
      <c r="K99" s="87"/>
      <c r="L99" s="87"/>
      <c r="M99" s="87"/>
      <c r="N99" s="87"/>
      <c r="O99" s="103"/>
      <c r="P99" s="87"/>
    </row>
    <row r="100" spans="1:16" ht="13" customHeight="1" x14ac:dyDescent="0.3">
      <c r="A100" s="243" t="s">
        <v>87</v>
      </c>
      <c r="B100" s="244"/>
      <c r="C100" s="245"/>
      <c r="D100" s="16"/>
      <c r="E100" s="82"/>
      <c r="F100" s="82"/>
      <c r="G100" s="82"/>
      <c r="H100" s="83"/>
      <c r="I100" s="86"/>
      <c r="J100" s="86"/>
      <c r="K100" s="86"/>
      <c r="L100" s="86"/>
      <c r="M100" s="86"/>
      <c r="N100" s="86"/>
      <c r="O100" s="103"/>
      <c r="P100" s="86"/>
    </row>
    <row r="101" spans="1:16" ht="15.5" customHeight="1" x14ac:dyDescent="0.3">
      <c r="A101" s="246" t="s">
        <v>56</v>
      </c>
      <c r="B101" s="247"/>
      <c r="C101" s="248"/>
      <c r="D101" s="11"/>
      <c r="E101" s="82"/>
      <c r="F101" s="82"/>
      <c r="G101" s="82"/>
      <c r="H101" s="68"/>
      <c r="I101" s="96">
        <f>H101</f>
        <v>0</v>
      </c>
      <c r="J101" s="82"/>
      <c r="K101" s="82"/>
      <c r="L101" s="82"/>
      <c r="M101" s="101"/>
      <c r="N101" s="102">
        <f>M101</f>
        <v>0</v>
      </c>
      <c r="O101" s="71">
        <f t="shared" si="12"/>
        <v>0</v>
      </c>
      <c r="P101" s="11"/>
    </row>
    <row r="102" spans="1:16" ht="15.5" customHeight="1" x14ac:dyDescent="0.3">
      <c r="A102" s="246" t="s">
        <v>88</v>
      </c>
      <c r="B102" s="247"/>
      <c r="C102" s="248"/>
      <c r="D102" s="11"/>
      <c r="E102" s="82"/>
      <c r="F102" s="82"/>
      <c r="G102" s="82"/>
      <c r="H102" s="31"/>
      <c r="I102" s="96">
        <f>H102</f>
        <v>0</v>
      </c>
      <c r="J102" s="82"/>
      <c r="K102" s="82"/>
      <c r="L102" s="82"/>
      <c r="M102" s="101"/>
      <c r="N102" s="102">
        <f>M102</f>
        <v>0</v>
      </c>
      <c r="O102" s="71">
        <f t="shared" si="12"/>
        <v>0</v>
      </c>
      <c r="P102" s="11"/>
    </row>
    <row r="103" spans="1:16" ht="13" customHeight="1" x14ac:dyDescent="0.3">
      <c r="A103" s="243" t="s">
        <v>89</v>
      </c>
      <c r="B103" s="244"/>
      <c r="C103" s="245"/>
      <c r="D103" s="16"/>
      <c r="E103" s="82"/>
      <c r="F103" s="82"/>
      <c r="G103" s="82"/>
      <c r="H103" s="100"/>
      <c r="I103" s="86"/>
      <c r="J103" s="82"/>
      <c r="K103" s="82"/>
      <c r="L103" s="82"/>
      <c r="M103" s="86"/>
      <c r="N103" s="86"/>
      <c r="O103" s="103"/>
      <c r="P103" s="86"/>
    </row>
    <row r="104" spans="1:16" ht="15.5" customHeight="1" x14ac:dyDescent="0.3">
      <c r="A104" s="246" t="s">
        <v>56</v>
      </c>
      <c r="B104" s="247"/>
      <c r="C104" s="248"/>
      <c r="D104" s="11"/>
      <c r="E104" s="82"/>
      <c r="F104" s="82"/>
      <c r="G104" s="82"/>
      <c r="H104" s="31"/>
      <c r="I104" s="96">
        <f>H104</f>
        <v>0</v>
      </c>
      <c r="J104" s="82"/>
      <c r="K104" s="82"/>
      <c r="L104" s="82"/>
      <c r="M104" s="101"/>
      <c r="N104" s="71">
        <f>M104</f>
        <v>0</v>
      </c>
      <c r="O104" s="71">
        <f t="shared" si="12"/>
        <v>0</v>
      </c>
      <c r="P104" s="11"/>
    </row>
    <row r="105" spans="1:16" ht="15.5" customHeight="1" x14ac:dyDescent="0.3">
      <c r="A105" s="246" t="s">
        <v>88</v>
      </c>
      <c r="B105" s="247"/>
      <c r="C105" s="248"/>
      <c r="D105" s="11"/>
      <c r="E105" s="82"/>
      <c r="F105" s="82"/>
      <c r="G105" s="82"/>
      <c r="H105" s="31"/>
      <c r="I105" s="96">
        <f>H105</f>
        <v>0</v>
      </c>
      <c r="J105" s="82"/>
      <c r="K105" s="82"/>
      <c r="L105" s="82"/>
      <c r="M105" s="101"/>
      <c r="N105" s="71">
        <f>M105</f>
        <v>0</v>
      </c>
      <c r="O105" s="71">
        <f t="shared" si="12"/>
        <v>0</v>
      </c>
      <c r="P105" s="11"/>
    </row>
    <row r="106" spans="1:16" ht="27.65" customHeight="1" x14ac:dyDescent="0.3">
      <c r="A106" s="243" t="s">
        <v>90</v>
      </c>
      <c r="B106" s="244"/>
      <c r="C106" s="245"/>
      <c r="D106" s="16"/>
      <c r="E106" s="82"/>
      <c r="F106" s="82"/>
      <c r="G106" s="82"/>
      <c r="H106" s="83"/>
      <c r="I106" s="86"/>
      <c r="J106" s="86"/>
      <c r="K106" s="86"/>
      <c r="L106" s="86"/>
      <c r="M106" s="86"/>
      <c r="N106" s="86"/>
      <c r="O106" s="103"/>
      <c r="P106" s="86"/>
    </row>
    <row r="107" spans="1:16" ht="15.5" customHeight="1" x14ac:dyDescent="0.3">
      <c r="A107" s="246" t="s">
        <v>91</v>
      </c>
      <c r="B107" s="247"/>
      <c r="C107" s="248"/>
      <c r="D107" s="11"/>
      <c r="E107" s="109">
        <v>1</v>
      </c>
      <c r="F107" s="82"/>
      <c r="G107" s="82"/>
      <c r="H107" s="83"/>
      <c r="I107" s="96">
        <f>E107</f>
        <v>1</v>
      </c>
      <c r="J107" s="156" t="s">
        <v>170</v>
      </c>
      <c r="K107" s="82"/>
      <c r="L107" s="82"/>
      <c r="M107" s="83"/>
      <c r="N107" s="71" t="str">
        <f>J107</f>
        <v>-</v>
      </c>
      <c r="O107" s="71" t="e">
        <f t="shared" si="12"/>
        <v>#VALUE!</v>
      </c>
      <c r="P107" s="11"/>
    </row>
    <row r="108" spans="1:16" ht="15.5" customHeight="1" x14ac:dyDescent="0.3">
      <c r="A108" s="246" t="s">
        <v>92</v>
      </c>
      <c r="B108" s="247"/>
      <c r="C108" s="248"/>
      <c r="D108" s="11"/>
      <c r="E108" s="109">
        <v>1</v>
      </c>
      <c r="F108" s="82"/>
      <c r="G108" s="82"/>
      <c r="H108" s="83"/>
      <c r="I108" s="96">
        <f t="shared" ref="I108:I109" si="15">E108</f>
        <v>1</v>
      </c>
      <c r="J108" s="156" t="s">
        <v>170</v>
      </c>
      <c r="K108" s="82"/>
      <c r="L108" s="82"/>
      <c r="M108" s="83"/>
      <c r="N108" s="71" t="str">
        <f t="shared" ref="N108:N109" si="16">J108</f>
        <v>-</v>
      </c>
      <c r="O108" s="71" t="e">
        <f t="shared" si="12"/>
        <v>#VALUE!</v>
      </c>
      <c r="P108" s="11"/>
    </row>
    <row r="109" spans="1:16" ht="15.5" customHeight="1" x14ac:dyDescent="0.3">
      <c r="A109" s="246" t="s">
        <v>93</v>
      </c>
      <c r="B109" s="247"/>
      <c r="C109" s="248"/>
      <c r="D109" s="11"/>
      <c r="E109" s="109">
        <v>1</v>
      </c>
      <c r="F109" s="82"/>
      <c r="G109" s="82"/>
      <c r="H109" s="83"/>
      <c r="I109" s="96">
        <f t="shared" si="15"/>
        <v>1</v>
      </c>
      <c r="J109" s="156" t="s">
        <v>170</v>
      </c>
      <c r="K109" s="82"/>
      <c r="L109" s="82"/>
      <c r="M109" s="83"/>
      <c r="N109" s="71" t="str">
        <f t="shared" si="16"/>
        <v>-</v>
      </c>
      <c r="O109" s="71" t="e">
        <f t="shared" si="12"/>
        <v>#VALUE!</v>
      </c>
      <c r="P109" s="11"/>
    </row>
    <row r="110" spans="1:16" ht="15.5" customHeight="1" x14ac:dyDescent="0.3">
      <c r="A110" s="14"/>
      <c r="B110" s="3"/>
      <c r="C110" s="15"/>
      <c r="D110" s="11"/>
      <c r="E110" s="12"/>
      <c r="F110" s="12"/>
      <c r="G110" s="12"/>
      <c r="H110" s="26"/>
      <c r="I110" s="13"/>
      <c r="J110" s="11"/>
      <c r="K110" s="11"/>
      <c r="L110" s="11"/>
      <c r="M110" s="11"/>
      <c r="N110" s="11"/>
      <c r="O110" s="71"/>
      <c r="P110" s="11"/>
    </row>
    <row r="111" spans="1:16" x14ac:dyDescent="0.3">
      <c r="A111" s="211" t="s">
        <v>24</v>
      </c>
      <c r="B111" s="212"/>
      <c r="C111" s="213"/>
      <c r="D111" s="11"/>
      <c r="E111" s="82"/>
      <c r="F111" s="82"/>
      <c r="G111" s="82"/>
      <c r="H111" s="83"/>
      <c r="I111" s="93"/>
      <c r="J111" s="87"/>
      <c r="K111" s="87"/>
      <c r="L111" s="87"/>
      <c r="M111" s="87"/>
      <c r="N111" s="87"/>
      <c r="O111" s="103"/>
      <c r="P111" s="87"/>
    </row>
    <row r="112" spans="1:16" s="22" customFormat="1" ht="22.25" customHeight="1" x14ac:dyDescent="0.3">
      <c r="A112" s="252" t="s">
        <v>94</v>
      </c>
      <c r="B112" s="253"/>
      <c r="C112" s="254"/>
      <c r="D112" s="16"/>
      <c r="E112" s="82"/>
      <c r="F112" s="82"/>
      <c r="G112" s="82"/>
      <c r="H112" s="83"/>
      <c r="I112" s="86"/>
      <c r="J112" s="86"/>
      <c r="K112" s="86"/>
      <c r="L112" s="86"/>
      <c r="M112" s="86"/>
      <c r="N112" s="86"/>
      <c r="O112" s="103"/>
      <c r="P112" s="86"/>
    </row>
    <row r="113" spans="1:16" ht="15.5" customHeight="1" x14ac:dyDescent="0.3">
      <c r="A113" s="211" t="s">
        <v>28</v>
      </c>
      <c r="B113" s="212"/>
      <c r="C113" s="213"/>
      <c r="D113" s="11"/>
      <c r="E113" s="82"/>
      <c r="F113" s="82"/>
      <c r="G113" s="82"/>
      <c r="H113" s="63"/>
      <c r="I113" s="13">
        <f>H113</f>
        <v>0</v>
      </c>
      <c r="J113" s="82"/>
      <c r="K113" s="82"/>
      <c r="L113" s="82"/>
      <c r="M113" s="11"/>
      <c r="N113" s="12">
        <f>M113</f>
        <v>0</v>
      </c>
      <c r="O113" s="12">
        <f t="shared" si="12"/>
        <v>0</v>
      </c>
      <c r="P113" s="11"/>
    </row>
    <row r="114" spans="1:16" ht="15.5" customHeight="1" x14ac:dyDescent="0.3">
      <c r="A114" s="211" t="s">
        <v>29</v>
      </c>
      <c r="B114" s="212"/>
      <c r="C114" s="213"/>
      <c r="D114" s="11"/>
      <c r="E114" s="82"/>
      <c r="F114" s="82"/>
      <c r="G114" s="82"/>
      <c r="H114" s="63"/>
      <c r="I114" s="13">
        <f>H114</f>
        <v>0</v>
      </c>
      <c r="J114" s="82"/>
      <c r="K114" s="82"/>
      <c r="L114" s="82"/>
      <c r="M114" s="11"/>
      <c r="N114" s="12">
        <f>M114</f>
        <v>0</v>
      </c>
      <c r="O114" s="12">
        <f t="shared" si="12"/>
        <v>0</v>
      </c>
      <c r="P114" s="11"/>
    </row>
    <row r="115" spans="1:16" ht="15.5" customHeight="1" x14ac:dyDescent="0.3">
      <c r="A115" s="14"/>
      <c r="B115" s="3"/>
      <c r="C115" s="15"/>
      <c r="D115" s="11"/>
      <c r="E115" s="12"/>
      <c r="F115" s="12"/>
      <c r="G115" s="12"/>
      <c r="H115" s="26"/>
      <c r="I115" s="13"/>
      <c r="J115" s="11"/>
      <c r="K115" s="11"/>
      <c r="L115" s="11"/>
      <c r="M115" s="11"/>
      <c r="N115" s="11"/>
      <c r="O115" s="71"/>
      <c r="P115" s="11"/>
    </row>
    <row r="116" spans="1:16" ht="13" customHeight="1" x14ac:dyDescent="0.3">
      <c r="A116" s="243" t="s">
        <v>95</v>
      </c>
      <c r="B116" s="244"/>
      <c r="C116" s="245"/>
      <c r="D116" s="11"/>
      <c r="E116" s="82"/>
      <c r="F116" s="82"/>
      <c r="G116" s="82"/>
      <c r="H116" s="83"/>
      <c r="I116" s="86"/>
      <c r="J116" s="87"/>
      <c r="K116" s="87"/>
      <c r="L116" s="87"/>
      <c r="M116" s="87"/>
      <c r="N116" s="87"/>
      <c r="O116" s="103"/>
      <c r="P116" s="87"/>
    </row>
    <row r="117" spans="1:16" ht="15.5" customHeight="1" x14ac:dyDescent="0.3">
      <c r="A117" s="211" t="s">
        <v>30</v>
      </c>
      <c r="B117" s="212"/>
      <c r="C117" s="213"/>
      <c r="D117" s="11"/>
      <c r="E117" s="82"/>
      <c r="F117" s="82"/>
      <c r="G117" s="82"/>
      <c r="H117" s="26"/>
      <c r="I117" s="13">
        <f>H117</f>
        <v>0</v>
      </c>
      <c r="J117" s="82"/>
      <c r="K117" s="82"/>
      <c r="L117" s="82"/>
      <c r="M117" s="11"/>
      <c r="N117" s="12">
        <f>M117</f>
        <v>0</v>
      </c>
      <c r="O117" s="12">
        <f t="shared" si="12"/>
        <v>0</v>
      </c>
      <c r="P117" s="11"/>
    </row>
    <row r="118" spans="1:16" ht="15.5" customHeight="1" x14ac:dyDescent="0.3">
      <c r="A118" s="211" t="s">
        <v>31</v>
      </c>
      <c r="B118" s="212"/>
      <c r="C118" s="213"/>
      <c r="D118" s="11"/>
      <c r="E118" s="82"/>
      <c r="F118" s="82"/>
      <c r="G118" s="82"/>
      <c r="H118" s="26"/>
      <c r="I118" s="13">
        <f t="shared" ref="I118:I119" si="17">H118</f>
        <v>0</v>
      </c>
      <c r="J118" s="82"/>
      <c r="K118" s="82"/>
      <c r="L118" s="82"/>
      <c r="M118" s="11"/>
      <c r="N118" s="12">
        <f t="shared" ref="N118:N119" si="18">M118</f>
        <v>0</v>
      </c>
      <c r="O118" s="12">
        <f t="shared" si="12"/>
        <v>0</v>
      </c>
      <c r="P118" s="11"/>
    </row>
    <row r="119" spans="1:16" ht="15.5" customHeight="1" x14ac:dyDescent="0.3">
      <c r="A119" s="211" t="s">
        <v>32</v>
      </c>
      <c r="B119" s="212"/>
      <c r="C119" s="213"/>
      <c r="D119" s="11"/>
      <c r="E119" s="82"/>
      <c r="F119" s="82"/>
      <c r="G119" s="82"/>
      <c r="H119" s="26"/>
      <c r="I119" s="13">
        <f t="shared" si="17"/>
        <v>0</v>
      </c>
      <c r="J119" s="82"/>
      <c r="K119" s="82"/>
      <c r="L119" s="82"/>
      <c r="M119" s="11"/>
      <c r="N119" s="12">
        <f t="shared" si="18"/>
        <v>0</v>
      </c>
      <c r="O119" s="12">
        <f t="shared" si="12"/>
        <v>0</v>
      </c>
      <c r="P119" s="11"/>
    </row>
    <row r="120" spans="1:16" ht="13" customHeight="1" x14ac:dyDescent="0.3">
      <c r="A120" s="261"/>
      <c r="B120" s="262"/>
      <c r="C120" s="263"/>
      <c r="D120" s="16"/>
      <c r="E120" s="12"/>
      <c r="F120" s="12"/>
      <c r="G120" s="12"/>
      <c r="H120" s="26"/>
      <c r="I120" s="16"/>
      <c r="J120" s="16"/>
      <c r="K120" s="16"/>
      <c r="L120" s="16"/>
      <c r="M120" s="16"/>
      <c r="N120" s="16"/>
      <c r="O120" s="104"/>
      <c r="P120" s="16"/>
    </row>
    <row r="121" spans="1:16" x14ac:dyDescent="0.3">
      <c r="A121" s="208" t="s">
        <v>40</v>
      </c>
      <c r="B121" s="209"/>
      <c r="C121" s="210"/>
      <c r="D121" s="19">
        <v>310500000000000</v>
      </c>
      <c r="E121" s="105"/>
      <c r="F121" s="105"/>
      <c r="G121" s="105"/>
      <c r="H121" s="106"/>
      <c r="I121" s="107"/>
      <c r="J121" s="108"/>
      <c r="K121" s="108"/>
      <c r="L121" s="108"/>
      <c r="M121" s="108"/>
      <c r="N121" s="108"/>
      <c r="O121" s="103"/>
      <c r="P121" s="108"/>
    </row>
    <row r="122" spans="1:16" x14ac:dyDescent="0.3">
      <c r="A122" s="233" t="s">
        <v>86</v>
      </c>
      <c r="B122" s="234"/>
      <c r="C122" s="235"/>
      <c r="D122" s="87"/>
      <c r="E122" s="82"/>
      <c r="F122" s="82"/>
      <c r="G122" s="82"/>
      <c r="H122" s="83"/>
      <c r="I122" s="93"/>
      <c r="J122" s="87"/>
      <c r="K122" s="87"/>
      <c r="L122" s="87"/>
      <c r="M122" s="87"/>
      <c r="N122" s="87"/>
      <c r="O122" s="103"/>
      <c r="P122" s="87"/>
    </row>
    <row r="123" spans="1:16" s="10" customFormat="1" ht="28.25" customHeight="1" x14ac:dyDescent="0.35">
      <c r="A123" s="227" t="s">
        <v>96</v>
      </c>
      <c r="B123" s="228"/>
      <c r="C123" s="229"/>
      <c r="D123" s="12"/>
      <c r="E123" s="98"/>
      <c r="F123" s="98"/>
      <c r="G123" s="98"/>
      <c r="H123" s="68"/>
      <c r="I123" s="98" t="e">
        <f>AVERAGE(E123:H123)</f>
        <v>#DIV/0!</v>
      </c>
      <c r="J123" s="12" t="s">
        <v>170</v>
      </c>
      <c r="K123" s="12"/>
      <c r="L123" s="12"/>
      <c r="M123" s="12"/>
      <c r="N123" s="12" t="e">
        <f>AVERAGE(J123:M123)</f>
        <v>#DIV/0!</v>
      </c>
      <c r="O123" s="71" t="e">
        <f t="shared" si="12"/>
        <v>#DIV/0!</v>
      </c>
      <c r="P123" s="12"/>
    </row>
    <row r="124" spans="1:16" s="10" customFormat="1" ht="15.5" customHeight="1" x14ac:dyDescent="0.35">
      <c r="A124" s="72"/>
      <c r="B124" s="73"/>
      <c r="C124" s="74" t="s">
        <v>109</v>
      </c>
      <c r="D124" s="12"/>
      <c r="E124" s="98"/>
      <c r="F124" s="98"/>
      <c r="G124" s="98"/>
      <c r="H124" s="68"/>
      <c r="I124" s="98" t="e">
        <f>AVERAGE(E124:H124)</f>
        <v>#DIV/0!</v>
      </c>
      <c r="J124" s="71">
        <v>1</v>
      </c>
      <c r="K124" s="12"/>
      <c r="L124" s="12"/>
      <c r="M124" s="12"/>
      <c r="N124" s="12">
        <f>AVERAGE(J124:M124)</f>
        <v>1</v>
      </c>
      <c r="O124" s="71" t="e">
        <f t="shared" si="12"/>
        <v>#DIV/0!</v>
      </c>
      <c r="P124" s="12"/>
    </row>
    <row r="125" spans="1:16" s="10" customFormat="1" ht="15.5" customHeight="1" x14ac:dyDescent="0.35">
      <c r="A125" s="72"/>
      <c r="B125" s="73"/>
      <c r="C125" s="75" t="s">
        <v>110</v>
      </c>
      <c r="D125" s="12"/>
      <c r="E125" s="12"/>
      <c r="F125" s="12"/>
      <c r="G125" s="12"/>
      <c r="H125" s="26"/>
      <c r="I125" s="52" t="e">
        <f>AVERAGE(E125:H125)</f>
        <v>#DIV/0!</v>
      </c>
      <c r="J125" s="12">
        <v>87</v>
      </c>
      <c r="K125" s="12"/>
      <c r="L125" s="12"/>
      <c r="M125" s="12"/>
      <c r="N125" s="12">
        <f t="shared" ref="N125:N128" si="19">AVERAGE(J125:M125)</f>
        <v>87</v>
      </c>
      <c r="O125" s="71" t="e">
        <f t="shared" si="12"/>
        <v>#DIV/0!</v>
      </c>
      <c r="P125" s="12"/>
    </row>
    <row r="126" spans="1:16" s="10" customFormat="1" ht="15.5" customHeight="1" x14ac:dyDescent="0.35">
      <c r="A126" s="72"/>
      <c r="B126" s="73"/>
      <c r="C126" s="75" t="s">
        <v>56</v>
      </c>
      <c r="D126" s="12"/>
      <c r="E126" s="12"/>
      <c r="F126" s="12"/>
      <c r="G126" s="12"/>
      <c r="H126" s="26"/>
      <c r="I126" s="52" t="e">
        <f t="shared" ref="I126:I128" si="20">AVERAGE(E126:H126)</f>
        <v>#DIV/0!</v>
      </c>
      <c r="J126" s="12" t="s">
        <v>170</v>
      </c>
      <c r="K126" s="12"/>
      <c r="L126" s="12"/>
      <c r="M126" s="12"/>
      <c r="N126" s="12" t="e">
        <f t="shared" si="19"/>
        <v>#DIV/0!</v>
      </c>
      <c r="O126" s="71" t="e">
        <f t="shared" si="12"/>
        <v>#DIV/0!</v>
      </c>
      <c r="P126" s="12"/>
    </row>
    <row r="127" spans="1:16" s="10" customFormat="1" ht="15.5" customHeight="1" x14ac:dyDescent="0.35">
      <c r="A127" s="72"/>
      <c r="B127" s="73"/>
      <c r="C127" s="75" t="s">
        <v>57</v>
      </c>
      <c r="D127" s="12"/>
      <c r="E127" s="12"/>
      <c r="F127" s="12"/>
      <c r="G127" s="12"/>
      <c r="H127" s="26"/>
      <c r="I127" s="52" t="e">
        <f t="shared" si="20"/>
        <v>#DIV/0!</v>
      </c>
      <c r="J127" s="12" t="s">
        <v>170</v>
      </c>
      <c r="K127" s="12"/>
      <c r="L127" s="12"/>
      <c r="M127" s="12"/>
      <c r="N127" s="12" t="e">
        <f t="shared" si="19"/>
        <v>#DIV/0!</v>
      </c>
      <c r="O127" s="71" t="e">
        <f t="shared" si="12"/>
        <v>#DIV/0!</v>
      </c>
      <c r="P127" s="12"/>
    </row>
    <row r="128" spans="1:16" s="10" customFormat="1" ht="15.5" customHeight="1" x14ac:dyDescent="0.35">
      <c r="A128" s="72"/>
      <c r="B128" s="73"/>
      <c r="C128" s="75" t="s">
        <v>58</v>
      </c>
      <c r="D128" s="12"/>
      <c r="E128" s="12"/>
      <c r="F128" s="12"/>
      <c r="G128" s="12"/>
      <c r="H128" s="26"/>
      <c r="I128" s="52" t="e">
        <f t="shared" si="20"/>
        <v>#DIV/0!</v>
      </c>
      <c r="J128" s="12" t="s">
        <v>170</v>
      </c>
      <c r="K128" s="12"/>
      <c r="L128" s="12"/>
      <c r="M128" s="12"/>
      <c r="N128" s="12" t="e">
        <f t="shared" si="19"/>
        <v>#DIV/0!</v>
      </c>
      <c r="O128" s="71" t="e">
        <f t="shared" si="12"/>
        <v>#DIV/0!</v>
      </c>
      <c r="P128" s="12"/>
    </row>
    <row r="129" spans="1:16" s="10" customFormat="1" ht="15.5" customHeight="1" x14ac:dyDescent="0.35">
      <c r="A129" s="72"/>
      <c r="B129" s="73"/>
      <c r="C129" s="74"/>
      <c r="D129" s="12"/>
      <c r="E129" s="12"/>
      <c r="F129" s="12"/>
      <c r="G129" s="12"/>
      <c r="H129" s="26"/>
      <c r="I129" s="52"/>
      <c r="J129" s="12"/>
      <c r="K129" s="12"/>
      <c r="L129" s="12"/>
      <c r="M129" s="12"/>
      <c r="N129" s="12"/>
      <c r="O129" s="71"/>
      <c r="P129" s="12"/>
    </row>
    <row r="130" spans="1:16" x14ac:dyDescent="0.3">
      <c r="A130" s="224" t="s">
        <v>59</v>
      </c>
      <c r="B130" s="225"/>
      <c r="C130" s="226"/>
      <c r="D130" s="87"/>
      <c r="E130" s="82"/>
      <c r="F130" s="82"/>
      <c r="G130" s="82"/>
      <c r="H130" s="83"/>
      <c r="I130" s="93"/>
      <c r="J130" s="87"/>
      <c r="K130" s="87"/>
      <c r="L130" s="87"/>
      <c r="M130" s="87"/>
      <c r="N130" s="87"/>
      <c r="O130" s="103"/>
      <c r="P130" s="87"/>
    </row>
    <row r="131" spans="1:16" ht="31.25" customHeight="1" x14ac:dyDescent="0.3">
      <c r="A131" s="227" t="s">
        <v>97</v>
      </c>
      <c r="B131" s="228"/>
      <c r="C131" s="229"/>
      <c r="D131" s="16"/>
      <c r="E131" s="12"/>
      <c r="F131" s="12"/>
      <c r="G131" s="12"/>
      <c r="H131" s="26"/>
      <c r="I131" s="12"/>
      <c r="J131" s="16">
        <f>J132+J133</f>
        <v>53</v>
      </c>
      <c r="K131" s="16"/>
      <c r="L131" s="16"/>
      <c r="M131" s="16"/>
      <c r="N131" s="12"/>
      <c r="O131" s="12"/>
      <c r="P131" s="16"/>
    </row>
    <row r="132" spans="1:16" ht="14.5" customHeight="1" x14ac:dyDescent="0.3">
      <c r="A132" s="227" t="s">
        <v>113</v>
      </c>
      <c r="B132" s="228"/>
      <c r="C132" s="229"/>
      <c r="D132" s="16"/>
      <c r="E132" s="12"/>
      <c r="F132" s="12"/>
      <c r="G132" s="12"/>
      <c r="H132" s="26"/>
      <c r="I132" s="12">
        <f>SUM(E132:H132)</f>
        <v>0</v>
      </c>
      <c r="J132" s="16">
        <v>10</v>
      </c>
      <c r="K132" s="16"/>
      <c r="L132" s="16"/>
      <c r="M132" s="16"/>
      <c r="N132" s="12">
        <f>SUM(J132:M132)</f>
        <v>10</v>
      </c>
      <c r="O132" s="12">
        <f t="shared" ref="O132:O134" si="21">N132-I132</f>
        <v>10</v>
      </c>
      <c r="P132" s="16"/>
    </row>
    <row r="133" spans="1:16" ht="14.5" customHeight="1" x14ac:dyDescent="0.3">
      <c r="A133" s="227" t="s">
        <v>114</v>
      </c>
      <c r="B133" s="228"/>
      <c r="C133" s="229"/>
      <c r="D133" s="16"/>
      <c r="E133" s="12"/>
      <c r="F133" s="12"/>
      <c r="G133" s="12"/>
      <c r="H133" s="26"/>
      <c r="I133" s="12">
        <f>SUM(E133:H133)</f>
        <v>0</v>
      </c>
      <c r="J133" s="16">
        <v>43</v>
      </c>
      <c r="K133" s="16"/>
      <c r="L133" s="16"/>
      <c r="M133" s="16"/>
      <c r="N133" s="12">
        <f>SUM(J133:M133)</f>
        <v>43</v>
      </c>
      <c r="O133" s="12">
        <f t="shared" si="21"/>
        <v>43</v>
      </c>
      <c r="P133" s="16"/>
    </row>
    <row r="134" spans="1:16" ht="14.5" customHeight="1" x14ac:dyDescent="0.3">
      <c r="A134" s="227" t="s">
        <v>115</v>
      </c>
      <c r="B134" s="228"/>
      <c r="C134" s="229"/>
      <c r="D134" s="16"/>
      <c r="E134" s="12"/>
      <c r="F134" s="12"/>
      <c r="G134" s="12"/>
      <c r="H134" s="26"/>
      <c r="I134" s="12">
        <f>SUM(E134:H134)</f>
        <v>0</v>
      </c>
      <c r="J134" s="16">
        <v>94</v>
      </c>
      <c r="K134" s="16"/>
      <c r="L134" s="16"/>
      <c r="M134" s="16"/>
      <c r="N134" s="12">
        <f>SUM(J134:M134)</f>
        <v>94</v>
      </c>
      <c r="O134" s="12">
        <f t="shared" si="21"/>
        <v>94</v>
      </c>
      <c r="P134" s="16"/>
    </row>
    <row r="135" spans="1:16" ht="14.5" customHeight="1" x14ac:dyDescent="0.3">
      <c r="A135" s="240"/>
      <c r="B135" s="241"/>
      <c r="C135" s="242"/>
      <c r="D135" s="110"/>
      <c r="E135" s="111"/>
      <c r="F135" s="111"/>
      <c r="G135" s="111"/>
      <c r="H135" s="112"/>
      <c r="I135" s="111"/>
      <c r="J135" s="110"/>
      <c r="K135" s="110"/>
      <c r="L135" s="110"/>
      <c r="M135" s="110"/>
      <c r="N135" s="111"/>
      <c r="O135" s="111"/>
      <c r="P135" s="110"/>
    </row>
    <row r="136" spans="1:16" x14ac:dyDescent="0.3">
      <c r="A136" s="215"/>
      <c r="B136" s="215"/>
      <c r="C136" s="215"/>
    </row>
    <row r="137" spans="1:16" x14ac:dyDescent="0.3">
      <c r="A137" s="268" t="s">
        <v>34</v>
      </c>
      <c r="B137" s="268"/>
      <c r="C137" s="268"/>
      <c r="H137" s="268" t="s">
        <v>35</v>
      </c>
      <c r="I137" s="268"/>
      <c r="J137" s="268"/>
      <c r="M137" s="268" t="s">
        <v>14</v>
      </c>
      <c r="N137" s="268"/>
      <c r="O137" s="268"/>
    </row>
    <row r="138" spans="1:16" x14ac:dyDescent="0.3">
      <c r="A138" s="215"/>
      <c r="B138" s="215"/>
      <c r="C138" s="215"/>
      <c r="H138" s="215"/>
      <c r="I138" s="215"/>
      <c r="J138" s="215"/>
      <c r="M138" s="215"/>
      <c r="N138" s="215"/>
      <c r="O138" s="215"/>
    </row>
    <row r="139" spans="1:16" x14ac:dyDescent="0.3">
      <c r="A139" s="307"/>
      <c r="B139" s="307"/>
      <c r="C139" s="307"/>
      <c r="H139" s="307"/>
      <c r="I139" s="307"/>
      <c r="J139" s="307"/>
      <c r="M139" s="307"/>
      <c r="N139" s="307"/>
      <c r="O139" s="307"/>
    </row>
    <row r="140" spans="1:16" x14ac:dyDescent="0.3">
      <c r="A140" s="209"/>
      <c r="B140" s="209"/>
      <c r="C140" s="209"/>
      <c r="H140" s="209"/>
      <c r="I140" s="209"/>
      <c r="J140" s="209"/>
      <c r="M140" s="1" t="s">
        <v>33</v>
      </c>
      <c r="N140" s="1"/>
      <c r="O140" s="1"/>
      <c r="P140" s="3"/>
    </row>
    <row r="141" spans="1:16" x14ac:dyDescent="0.3">
      <c r="A141" s="267" t="s">
        <v>13</v>
      </c>
      <c r="B141" s="267"/>
      <c r="C141" s="267"/>
      <c r="H141" s="30" t="s">
        <v>13</v>
      </c>
      <c r="M141" s="267" t="s">
        <v>13</v>
      </c>
      <c r="N141" s="267"/>
      <c r="O141" s="267"/>
      <c r="P141" s="267"/>
    </row>
  </sheetData>
  <mergeCells count="117">
    <mergeCell ref="O1:P1"/>
    <mergeCell ref="O2:P2"/>
    <mergeCell ref="E4:J4"/>
    <mergeCell ref="E5:J5"/>
    <mergeCell ref="C8:D8"/>
    <mergeCell ref="C9:D9"/>
    <mergeCell ref="O13:O14"/>
    <mergeCell ref="P13:P14"/>
    <mergeCell ref="A15:C15"/>
    <mergeCell ref="A16:C16"/>
    <mergeCell ref="A17:C17"/>
    <mergeCell ref="A18:C18"/>
    <mergeCell ref="C10:D10"/>
    <mergeCell ref="C11:D11"/>
    <mergeCell ref="A13:C14"/>
    <mergeCell ref="D13:D14"/>
    <mergeCell ref="E13:I13"/>
    <mergeCell ref="J13:N13"/>
    <mergeCell ref="A28:C28"/>
    <mergeCell ref="A29:C29"/>
    <mergeCell ref="A30:C30"/>
    <mergeCell ref="A31:C31"/>
    <mergeCell ref="A32:C32"/>
    <mergeCell ref="A36:C36"/>
    <mergeCell ref="A19:C19"/>
    <mergeCell ref="A21:C21"/>
    <mergeCell ref="A23:C23"/>
    <mergeCell ref="A24:C24"/>
    <mergeCell ref="A25:C25"/>
    <mergeCell ref="A27:C27"/>
    <mergeCell ref="A50:C50"/>
    <mergeCell ref="A52:C52"/>
    <mergeCell ref="A55:C55"/>
    <mergeCell ref="A56:C56"/>
    <mergeCell ref="A58:C58"/>
    <mergeCell ref="A60:C60"/>
    <mergeCell ref="A38:C38"/>
    <mergeCell ref="A41:C41"/>
    <mergeCell ref="A42:C42"/>
    <mergeCell ref="A44:C44"/>
    <mergeCell ref="A46:C46"/>
    <mergeCell ref="A48:C48"/>
    <mergeCell ref="A69:C69"/>
    <mergeCell ref="A70:C70"/>
    <mergeCell ref="A71:C71"/>
    <mergeCell ref="A72:C72"/>
    <mergeCell ref="A73:C73"/>
    <mergeCell ref="A74:C74"/>
    <mergeCell ref="A62:C62"/>
    <mergeCell ref="A63:C63"/>
    <mergeCell ref="A64:C64"/>
    <mergeCell ref="A65:C65"/>
    <mergeCell ref="A66:C66"/>
    <mergeCell ref="A67:C67"/>
    <mergeCell ref="A83:C83"/>
    <mergeCell ref="A85:C85"/>
    <mergeCell ref="A87:C87"/>
    <mergeCell ref="A88:C88"/>
    <mergeCell ref="A89:C89"/>
    <mergeCell ref="A90:C90"/>
    <mergeCell ref="A75:C75"/>
    <mergeCell ref="A76:C76"/>
    <mergeCell ref="A77:C77"/>
    <mergeCell ref="A78:C78"/>
    <mergeCell ref="A79:C79"/>
    <mergeCell ref="A81:C81"/>
    <mergeCell ref="A97:C97"/>
    <mergeCell ref="A98:C98"/>
    <mergeCell ref="A99:C99"/>
    <mergeCell ref="A100:C100"/>
    <mergeCell ref="A101:C101"/>
    <mergeCell ref="A102:C102"/>
    <mergeCell ref="A91:C91"/>
    <mergeCell ref="A92:C92"/>
    <mergeCell ref="A93:C93"/>
    <mergeCell ref="A94:C94"/>
    <mergeCell ref="A95:C95"/>
    <mergeCell ref="A96:C96"/>
    <mergeCell ref="A109:C109"/>
    <mergeCell ref="A111:C111"/>
    <mergeCell ref="A112:C112"/>
    <mergeCell ref="A113:C113"/>
    <mergeCell ref="A114:C114"/>
    <mergeCell ref="A116:C116"/>
    <mergeCell ref="A103:C103"/>
    <mergeCell ref="A104:C104"/>
    <mergeCell ref="A105:C105"/>
    <mergeCell ref="A106:C106"/>
    <mergeCell ref="A107:C107"/>
    <mergeCell ref="A108:C108"/>
    <mergeCell ref="A123:C123"/>
    <mergeCell ref="A130:C130"/>
    <mergeCell ref="A131:C131"/>
    <mergeCell ref="A132:C132"/>
    <mergeCell ref="A133:C133"/>
    <mergeCell ref="A134:C134"/>
    <mergeCell ref="A117:C117"/>
    <mergeCell ref="A118:C118"/>
    <mergeCell ref="A119:C119"/>
    <mergeCell ref="A120:C120"/>
    <mergeCell ref="A121:C121"/>
    <mergeCell ref="A122:C122"/>
    <mergeCell ref="A139:C139"/>
    <mergeCell ref="H139:J139"/>
    <mergeCell ref="M139:O139"/>
    <mergeCell ref="A140:C140"/>
    <mergeCell ref="H140:J140"/>
    <mergeCell ref="A141:C141"/>
    <mergeCell ref="M141:P141"/>
    <mergeCell ref="A135:C135"/>
    <mergeCell ref="A136:C136"/>
    <mergeCell ref="A137:C137"/>
    <mergeCell ref="H137:J137"/>
    <mergeCell ref="M137:O137"/>
    <mergeCell ref="A138:C138"/>
    <mergeCell ref="H138:J138"/>
    <mergeCell ref="M138:O138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7278-6A2D-481C-9057-CFABFE1F2872}">
  <dimension ref="A1:P141"/>
  <sheetViews>
    <sheetView topLeftCell="E59" zoomScale="92" zoomScaleNormal="90" workbookViewId="0">
      <selection activeCell="J67" sqref="J67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126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ht="13.5" thickBot="1" x14ac:dyDescent="0.35">
      <c r="A15" s="272">
        <v>1</v>
      </c>
      <c r="B15" s="272"/>
      <c r="C15" s="272"/>
      <c r="D15" s="6">
        <v>2</v>
      </c>
      <c r="E15" s="6">
        <v>3</v>
      </c>
      <c r="F15" s="6">
        <v>4</v>
      </c>
      <c r="G15" s="6">
        <v>5</v>
      </c>
      <c r="H15" s="7">
        <v>6</v>
      </c>
      <c r="I15" s="6" t="s">
        <v>21</v>
      </c>
      <c r="J15" s="6">
        <v>8</v>
      </c>
      <c r="K15" s="6">
        <v>9</v>
      </c>
      <c r="L15" s="6">
        <v>10</v>
      </c>
      <c r="M15" s="6">
        <v>11</v>
      </c>
      <c r="N15" s="6" t="s">
        <v>22</v>
      </c>
      <c r="O15" s="6">
        <v>13</v>
      </c>
      <c r="P15" s="6">
        <v>14</v>
      </c>
    </row>
    <row r="16" spans="1:16" ht="40.25" customHeight="1" x14ac:dyDescent="0.3">
      <c r="A16" s="285" t="s">
        <v>36</v>
      </c>
      <c r="B16" s="286"/>
      <c r="C16" s="287"/>
      <c r="D16" s="8"/>
      <c r="E16" s="33"/>
      <c r="F16" s="33"/>
      <c r="G16" s="33"/>
      <c r="H16" s="28"/>
      <c r="I16" s="50"/>
      <c r="J16" s="8"/>
      <c r="K16" s="8"/>
      <c r="L16" s="8"/>
      <c r="M16" s="8"/>
      <c r="N16" s="8"/>
      <c r="O16" s="8"/>
      <c r="P16" s="8"/>
    </row>
    <row r="17" spans="1:16" ht="13.25" customHeight="1" x14ac:dyDescent="0.3">
      <c r="A17" s="275" t="s">
        <v>37</v>
      </c>
      <c r="B17" s="276"/>
      <c r="C17" s="277"/>
      <c r="D17" s="20">
        <v>310100000000000</v>
      </c>
      <c r="E17" s="34"/>
      <c r="F17" s="34"/>
      <c r="G17" s="34"/>
      <c r="H17" s="29"/>
      <c r="I17" s="51"/>
      <c r="J17" s="9"/>
      <c r="K17" s="9"/>
      <c r="L17" s="9"/>
      <c r="M17" s="9"/>
      <c r="N17" s="9"/>
      <c r="O17" s="9"/>
      <c r="P17" s="9"/>
    </row>
    <row r="18" spans="1:16" x14ac:dyDescent="0.3">
      <c r="A18" s="314" t="s">
        <v>38</v>
      </c>
      <c r="B18" s="315"/>
      <c r="C18" s="316"/>
      <c r="D18" s="11"/>
      <c r="E18" s="82"/>
      <c r="F18" s="82"/>
      <c r="G18" s="82"/>
      <c r="H18" s="83"/>
      <c r="I18" s="93"/>
      <c r="J18" s="87"/>
      <c r="K18" s="87"/>
      <c r="L18" s="87"/>
      <c r="M18" s="87"/>
      <c r="N18" s="87"/>
      <c r="O18" s="87"/>
      <c r="P18" s="87"/>
    </row>
    <row r="19" spans="1:16" s="25" customFormat="1" ht="30" customHeight="1" x14ac:dyDescent="0.35">
      <c r="A19" s="252" t="s">
        <v>43</v>
      </c>
      <c r="B19" s="253"/>
      <c r="C19" s="254"/>
      <c r="D19" s="24"/>
      <c r="E19" s="76"/>
      <c r="F19" s="76"/>
      <c r="G19" s="76"/>
      <c r="H19" s="77"/>
      <c r="I19" s="78" t="e">
        <f>AVERAGE(E19:H19)</f>
        <v>#DIV/0!</v>
      </c>
      <c r="J19" s="97" t="s">
        <v>170</v>
      </c>
      <c r="K19" s="97"/>
      <c r="L19" s="97"/>
      <c r="M19" s="97"/>
      <c r="N19" s="98" t="e">
        <f>AVERAGE(J19:M19)</f>
        <v>#DIV/0!</v>
      </c>
      <c r="O19" s="71" t="e">
        <f>N19-I19</f>
        <v>#DIV/0!</v>
      </c>
      <c r="P19" s="24"/>
    </row>
    <row r="20" spans="1:16" s="25" customFormat="1" ht="19.75" customHeight="1" x14ac:dyDescent="0.35">
      <c r="A20" s="21"/>
      <c r="B20" s="22"/>
      <c r="C20" s="23"/>
      <c r="D20" s="24"/>
      <c r="E20" s="12"/>
      <c r="F20" s="12"/>
      <c r="G20" s="12"/>
      <c r="H20" s="54"/>
      <c r="I20" s="53"/>
      <c r="J20" s="24"/>
      <c r="K20" s="24"/>
      <c r="L20" s="24"/>
      <c r="M20" s="24"/>
      <c r="N20" s="24"/>
      <c r="O20" s="71"/>
      <c r="P20" s="24"/>
    </row>
    <row r="21" spans="1:16" s="25" customFormat="1" ht="14" customHeight="1" x14ac:dyDescent="0.35">
      <c r="A21" s="252" t="s">
        <v>44</v>
      </c>
      <c r="B21" s="253"/>
      <c r="C21" s="254"/>
      <c r="D21" s="24"/>
      <c r="E21" s="76"/>
      <c r="F21" s="76"/>
      <c r="G21" s="76"/>
      <c r="H21" s="77"/>
      <c r="I21" s="79" t="e">
        <f>AVERAGE(E21:H21)</f>
        <v>#DIV/0!</v>
      </c>
      <c r="J21" s="24" t="s">
        <v>170</v>
      </c>
      <c r="K21" s="24"/>
      <c r="L21" s="24"/>
      <c r="M21" s="24"/>
      <c r="N21" s="12" t="e">
        <f>AVERAGE(J21:M21)</f>
        <v>#DIV/0!</v>
      </c>
      <c r="O21" s="71" t="e">
        <f t="shared" ref="O21:O84" si="0">N21-I21</f>
        <v>#DIV/0!</v>
      </c>
      <c r="P21" s="24"/>
    </row>
    <row r="22" spans="1:16" s="25" customFormat="1" ht="14" customHeight="1" x14ac:dyDescent="0.35">
      <c r="A22" s="21"/>
      <c r="B22" s="22"/>
      <c r="C22" s="23"/>
      <c r="D22" s="24"/>
      <c r="E22" s="12"/>
      <c r="F22" s="12"/>
      <c r="G22" s="12"/>
      <c r="H22" s="31"/>
      <c r="I22" s="52"/>
      <c r="J22" s="24"/>
      <c r="K22" s="24"/>
      <c r="L22" s="24"/>
      <c r="M22" s="24"/>
      <c r="N22" s="24"/>
      <c r="O22" s="71"/>
      <c r="P22" s="24"/>
    </row>
    <row r="23" spans="1:16" x14ac:dyDescent="0.3">
      <c r="A23" s="288" t="s">
        <v>39</v>
      </c>
      <c r="B23" s="289"/>
      <c r="C23" s="290"/>
      <c r="D23" s="11"/>
      <c r="E23" s="82"/>
      <c r="F23" s="82"/>
      <c r="G23" s="82"/>
      <c r="H23" s="83"/>
      <c r="I23" s="93"/>
      <c r="J23" s="87"/>
      <c r="K23" s="87"/>
      <c r="L23" s="87"/>
      <c r="M23" s="87"/>
      <c r="N23" s="87"/>
      <c r="O23" s="103"/>
      <c r="P23" s="87"/>
    </row>
    <row r="24" spans="1:16" x14ac:dyDescent="0.3">
      <c r="A24" s="291" t="s">
        <v>55</v>
      </c>
      <c r="B24" s="292"/>
      <c r="C24" s="293"/>
      <c r="D24" s="11"/>
      <c r="E24" s="76"/>
      <c r="F24" s="76"/>
      <c r="G24" s="76"/>
      <c r="H24" s="80"/>
      <c r="I24" s="81">
        <f>SUM(E24:H24)</f>
        <v>0</v>
      </c>
      <c r="J24" s="16" t="s">
        <v>170</v>
      </c>
      <c r="K24" s="11"/>
      <c r="L24" s="11"/>
      <c r="M24" s="11"/>
      <c r="N24" s="12">
        <f>SUM(J24:M24)</f>
        <v>0</v>
      </c>
      <c r="O24" s="12">
        <f t="shared" si="0"/>
        <v>0</v>
      </c>
      <c r="P24" s="11"/>
    </row>
    <row r="25" spans="1:16" x14ac:dyDescent="0.3">
      <c r="A25" s="291" t="s">
        <v>53</v>
      </c>
      <c r="B25" s="292"/>
      <c r="C25" s="293"/>
      <c r="D25" s="11"/>
      <c r="E25" s="12"/>
      <c r="F25" s="12"/>
      <c r="G25" s="12"/>
      <c r="H25" s="26"/>
      <c r="I25" s="55">
        <f>SUM(E25:H25)</f>
        <v>0</v>
      </c>
      <c r="J25" s="16" t="s">
        <v>170</v>
      </c>
      <c r="K25" s="11"/>
      <c r="L25" s="11"/>
      <c r="M25" s="11"/>
      <c r="N25" s="12">
        <f t="shared" ref="N25:N26" si="1">SUM(J25:M25)</f>
        <v>0</v>
      </c>
      <c r="O25" s="12">
        <f t="shared" si="0"/>
        <v>0</v>
      </c>
      <c r="P25" s="11"/>
    </row>
    <row r="26" spans="1:16" x14ac:dyDescent="0.3">
      <c r="A26" s="17"/>
      <c r="B26" s="18"/>
      <c r="C26" s="35" t="s">
        <v>45</v>
      </c>
      <c r="D26" s="11"/>
      <c r="E26" s="12"/>
      <c r="F26" s="12"/>
      <c r="G26" s="12"/>
      <c r="H26" s="26"/>
      <c r="I26" s="55">
        <f>SUM(E26:H26)</f>
        <v>0</v>
      </c>
      <c r="J26" s="16" t="s">
        <v>170</v>
      </c>
      <c r="K26" s="11"/>
      <c r="L26" s="11"/>
      <c r="M26" s="11"/>
      <c r="N26" s="12">
        <f t="shared" si="1"/>
        <v>0</v>
      </c>
      <c r="O26" s="12">
        <f t="shared" si="0"/>
        <v>0</v>
      </c>
      <c r="P26" s="11"/>
    </row>
    <row r="27" spans="1:16" x14ac:dyDescent="0.3">
      <c r="A27" s="291" t="s">
        <v>54</v>
      </c>
      <c r="B27" s="292"/>
      <c r="C27" s="293"/>
      <c r="D27" s="11"/>
      <c r="E27" s="76"/>
      <c r="F27" s="76"/>
      <c r="G27" s="76"/>
      <c r="H27" s="80"/>
      <c r="I27" s="81">
        <f>SUM(E27:H27)</f>
        <v>0</v>
      </c>
      <c r="J27" s="16" t="s">
        <v>170</v>
      </c>
      <c r="K27" s="11"/>
      <c r="L27" s="11"/>
      <c r="M27" s="11"/>
      <c r="N27" s="12">
        <f>SUM(J27:M27)</f>
        <v>0</v>
      </c>
      <c r="O27" s="12">
        <f t="shared" si="0"/>
        <v>0</v>
      </c>
      <c r="P27" s="11"/>
    </row>
    <row r="28" spans="1:16" x14ac:dyDescent="0.3">
      <c r="A28" s="214"/>
      <c r="B28" s="215"/>
      <c r="C28" s="216"/>
      <c r="D28" s="11"/>
      <c r="E28" s="12"/>
      <c r="F28" s="12"/>
      <c r="G28" s="12"/>
      <c r="H28" s="26"/>
      <c r="I28" s="13"/>
      <c r="J28" s="11"/>
      <c r="K28" s="11"/>
      <c r="L28" s="11"/>
      <c r="M28" s="11"/>
      <c r="N28" s="11"/>
      <c r="O28" s="104"/>
      <c r="P28" s="11"/>
    </row>
    <row r="29" spans="1:16" x14ac:dyDescent="0.3">
      <c r="A29" s="208" t="s">
        <v>47</v>
      </c>
      <c r="B29" s="209"/>
      <c r="C29" s="210"/>
      <c r="D29" s="20">
        <v>310200000000000</v>
      </c>
      <c r="E29" s="34"/>
      <c r="F29" s="34"/>
      <c r="G29" s="34"/>
      <c r="H29" s="29"/>
      <c r="I29" s="51"/>
      <c r="J29" s="9"/>
      <c r="K29" s="9"/>
      <c r="L29" s="9"/>
      <c r="M29" s="9"/>
      <c r="N29" s="9"/>
      <c r="O29" s="71"/>
      <c r="P29" s="9"/>
    </row>
    <row r="30" spans="1:16" x14ac:dyDescent="0.3">
      <c r="A30" s="224" t="s">
        <v>48</v>
      </c>
      <c r="B30" s="225"/>
      <c r="C30" s="226"/>
      <c r="D30" s="11"/>
      <c r="E30" s="82"/>
      <c r="F30" s="82"/>
      <c r="G30" s="82"/>
      <c r="H30" s="83"/>
      <c r="I30" s="93"/>
      <c r="J30" s="87"/>
      <c r="K30" s="87"/>
      <c r="L30" s="87"/>
      <c r="M30" s="87"/>
      <c r="N30" s="87"/>
      <c r="O30" s="103"/>
      <c r="P30" s="87"/>
    </row>
    <row r="31" spans="1:16" s="10" customFormat="1" ht="31.75" customHeight="1" x14ac:dyDescent="0.3">
      <c r="A31" s="252" t="s">
        <v>49</v>
      </c>
      <c r="B31" s="253"/>
      <c r="C31" s="254"/>
      <c r="D31" s="16"/>
      <c r="E31" s="82"/>
      <c r="F31" s="82"/>
      <c r="G31" s="82"/>
      <c r="H31" s="83"/>
      <c r="I31" s="86"/>
      <c r="J31" s="86"/>
      <c r="K31" s="86"/>
      <c r="L31" s="86"/>
      <c r="M31" s="86"/>
      <c r="N31" s="86"/>
      <c r="O31" s="103"/>
      <c r="P31" s="86"/>
    </row>
    <row r="32" spans="1:16" ht="15.5" customHeight="1" x14ac:dyDescent="0.3">
      <c r="A32" s="211" t="s">
        <v>25</v>
      </c>
      <c r="B32" s="212"/>
      <c r="C32" s="213"/>
      <c r="D32" s="11"/>
      <c r="E32" s="82"/>
      <c r="F32" s="36"/>
      <c r="G32" s="82"/>
      <c r="H32" s="83"/>
      <c r="I32" s="92">
        <f>F32</f>
        <v>0</v>
      </c>
      <c r="J32" s="82"/>
      <c r="K32" s="36"/>
      <c r="L32" s="82"/>
      <c r="M32" s="83"/>
      <c r="N32" s="92">
        <f>K32</f>
        <v>0</v>
      </c>
      <c r="O32" s="71">
        <f t="shared" si="0"/>
        <v>0</v>
      </c>
      <c r="P32" s="11"/>
    </row>
    <row r="33" spans="1:16" ht="15.5" customHeight="1" x14ac:dyDescent="0.3">
      <c r="A33" s="14"/>
      <c r="B33" s="3"/>
      <c r="C33" s="15" t="s">
        <v>108</v>
      </c>
      <c r="D33" s="11"/>
      <c r="E33" s="82"/>
      <c r="F33" s="12"/>
      <c r="G33" s="82"/>
      <c r="H33" s="83"/>
      <c r="I33" s="13">
        <f t="shared" ref="I33:I39" si="2">F33</f>
        <v>0</v>
      </c>
      <c r="J33" s="82"/>
      <c r="K33" s="12"/>
      <c r="L33" s="82"/>
      <c r="M33" s="83"/>
      <c r="N33" s="13">
        <f t="shared" ref="N33:N39" si="3">K33</f>
        <v>0</v>
      </c>
      <c r="O33" s="12">
        <f t="shared" si="0"/>
        <v>0</v>
      </c>
      <c r="P33" s="11"/>
    </row>
    <row r="34" spans="1:16" ht="15.5" customHeight="1" x14ac:dyDescent="0.3">
      <c r="A34" s="14"/>
      <c r="B34" s="3"/>
      <c r="C34" s="70" t="s">
        <v>107</v>
      </c>
      <c r="D34" s="11"/>
      <c r="E34" s="82"/>
      <c r="F34" s="36"/>
      <c r="G34" s="82"/>
      <c r="H34" s="83"/>
      <c r="I34" s="92">
        <f t="shared" si="2"/>
        <v>0</v>
      </c>
      <c r="J34" s="82"/>
      <c r="K34" s="36"/>
      <c r="L34" s="82"/>
      <c r="M34" s="83"/>
      <c r="N34" s="92">
        <f t="shared" si="3"/>
        <v>0</v>
      </c>
      <c r="O34" s="71">
        <f t="shared" si="0"/>
        <v>0</v>
      </c>
      <c r="P34" s="11"/>
    </row>
    <row r="35" spans="1:16" ht="15.5" customHeight="1" x14ac:dyDescent="0.3">
      <c r="A35" s="14"/>
      <c r="B35" s="3"/>
      <c r="C35" s="15" t="s">
        <v>108</v>
      </c>
      <c r="D35" s="11"/>
      <c r="E35" s="82"/>
      <c r="F35" s="12"/>
      <c r="G35" s="82"/>
      <c r="H35" s="83"/>
      <c r="I35" s="13">
        <f t="shared" si="2"/>
        <v>0</v>
      </c>
      <c r="J35" s="82"/>
      <c r="K35" s="36"/>
      <c r="L35" s="82"/>
      <c r="M35" s="83"/>
      <c r="N35" s="13">
        <f t="shared" si="3"/>
        <v>0</v>
      </c>
      <c r="O35" s="12">
        <f t="shared" si="0"/>
        <v>0</v>
      </c>
      <c r="P35" s="11"/>
    </row>
    <row r="36" spans="1:16" ht="15.5" customHeight="1" x14ac:dyDescent="0.3">
      <c r="A36" s="211" t="s">
        <v>26</v>
      </c>
      <c r="B36" s="212"/>
      <c r="C36" s="213"/>
      <c r="D36" s="11"/>
      <c r="E36" s="82"/>
      <c r="F36" s="36"/>
      <c r="G36" s="82"/>
      <c r="H36" s="83"/>
      <c r="I36" s="92">
        <f t="shared" si="2"/>
        <v>0</v>
      </c>
      <c r="J36" s="82"/>
      <c r="K36" s="36"/>
      <c r="L36" s="82"/>
      <c r="M36" s="83"/>
      <c r="N36" s="92">
        <f t="shared" si="3"/>
        <v>0</v>
      </c>
      <c r="O36" s="71">
        <f t="shared" si="0"/>
        <v>0</v>
      </c>
      <c r="P36" s="11"/>
    </row>
    <row r="37" spans="1:16" ht="15.5" customHeight="1" x14ac:dyDescent="0.3">
      <c r="A37" s="14"/>
      <c r="B37" s="3"/>
      <c r="C37" s="15" t="s">
        <v>108</v>
      </c>
      <c r="D37" s="11"/>
      <c r="E37" s="82"/>
      <c r="F37" s="12"/>
      <c r="G37" s="82"/>
      <c r="H37" s="83"/>
      <c r="I37" s="13">
        <f t="shared" si="2"/>
        <v>0</v>
      </c>
      <c r="J37" s="82"/>
      <c r="K37" s="12"/>
      <c r="L37" s="82"/>
      <c r="M37" s="83"/>
      <c r="N37" s="13">
        <f t="shared" si="3"/>
        <v>0</v>
      </c>
      <c r="O37" s="12">
        <f t="shared" si="0"/>
        <v>0</v>
      </c>
      <c r="P37" s="11"/>
    </row>
    <row r="38" spans="1:16" ht="15.5" customHeight="1" x14ac:dyDescent="0.3">
      <c r="A38" s="211" t="s">
        <v>27</v>
      </c>
      <c r="B38" s="212"/>
      <c r="C38" s="213"/>
      <c r="D38" s="11"/>
      <c r="E38" s="82"/>
      <c r="F38" s="36"/>
      <c r="G38" s="82"/>
      <c r="H38" s="83"/>
      <c r="I38" s="92">
        <f t="shared" si="2"/>
        <v>0</v>
      </c>
      <c r="J38" s="82"/>
      <c r="K38" s="36"/>
      <c r="L38" s="82"/>
      <c r="M38" s="83"/>
      <c r="N38" s="92">
        <f t="shared" si="3"/>
        <v>0</v>
      </c>
      <c r="O38" s="71">
        <f t="shared" si="0"/>
        <v>0</v>
      </c>
      <c r="P38" s="11"/>
    </row>
    <row r="39" spans="1:16" ht="15.5" customHeight="1" x14ac:dyDescent="0.3">
      <c r="A39" s="14"/>
      <c r="B39" s="3"/>
      <c r="C39" s="15" t="s">
        <v>108</v>
      </c>
      <c r="D39" s="11"/>
      <c r="E39" s="82"/>
      <c r="F39" s="12"/>
      <c r="G39" s="82"/>
      <c r="H39" s="83"/>
      <c r="I39" s="13">
        <f t="shared" si="2"/>
        <v>0</v>
      </c>
      <c r="J39" s="82"/>
      <c r="K39" s="12"/>
      <c r="L39" s="82"/>
      <c r="M39" s="83"/>
      <c r="N39" s="13">
        <f t="shared" si="3"/>
        <v>0</v>
      </c>
      <c r="O39" s="12">
        <f t="shared" si="0"/>
        <v>0</v>
      </c>
      <c r="P39" s="11"/>
    </row>
    <row r="40" spans="1:16" ht="15.5" customHeight="1" x14ac:dyDescent="0.3">
      <c r="A40" s="14"/>
      <c r="B40" s="3"/>
      <c r="C40" s="15"/>
      <c r="D40" s="11"/>
      <c r="E40" s="12"/>
      <c r="F40" s="12"/>
      <c r="G40" s="12"/>
      <c r="H40" s="26"/>
      <c r="I40" s="13"/>
      <c r="J40" s="12"/>
      <c r="K40" s="12"/>
      <c r="L40" s="12"/>
      <c r="M40" s="26"/>
      <c r="N40" s="13"/>
      <c r="O40" s="71"/>
      <c r="P40" s="11"/>
    </row>
    <row r="41" spans="1:16" ht="25.25" customHeight="1" x14ac:dyDescent="0.3">
      <c r="A41" s="243" t="s">
        <v>46</v>
      </c>
      <c r="B41" s="244"/>
      <c r="C41" s="245"/>
      <c r="D41" s="16"/>
      <c r="E41" s="82"/>
      <c r="F41" s="82"/>
      <c r="G41" s="82"/>
      <c r="H41" s="83"/>
      <c r="I41" s="86"/>
      <c r="J41" s="82"/>
      <c r="K41" s="82"/>
      <c r="L41" s="82"/>
      <c r="M41" s="83"/>
      <c r="N41" s="86"/>
      <c r="O41" s="103"/>
      <c r="P41" s="86"/>
    </row>
    <row r="42" spans="1:16" ht="15.5" customHeight="1" x14ac:dyDescent="0.3">
      <c r="A42" s="304" t="s">
        <v>102</v>
      </c>
      <c r="B42" s="305"/>
      <c r="C42" s="306"/>
      <c r="D42" s="11"/>
      <c r="E42" s="82"/>
      <c r="F42" s="36"/>
      <c r="G42" s="82"/>
      <c r="H42" s="83"/>
      <c r="I42" s="92">
        <f>F42</f>
        <v>0</v>
      </c>
      <c r="J42" s="82"/>
      <c r="K42" s="94"/>
      <c r="L42" s="82"/>
      <c r="M42" s="83"/>
      <c r="N42" s="96">
        <f>K42</f>
        <v>0</v>
      </c>
      <c r="O42" s="71">
        <f t="shared" si="0"/>
        <v>0</v>
      </c>
      <c r="P42" s="11"/>
    </row>
    <row r="43" spans="1:16" ht="15.5" customHeight="1" x14ac:dyDescent="0.3">
      <c r="A43" s="46"/>
      <c r="B43" s="47"/>
      <c r="C43" s="15" t="s">
        <v>108</v>
      </c>
      <c r="D43" s="11"/>
      <c r="E43" s="82"/>
      <c r="F43" s="12"/>
      <c r="G43" s="82"/>
      <c r="H43" s="83"/>
      <c r="I43" s="13">
        <f t="shared" ref="I43:I53" si="4">F43</f>
        <v>0</v>
      </c>
      <c r="J43" s="82"/>
      <c r="K43" s="95"/>
      <c r="L43" s="82"/>
      <c r="M43" s="83"/>
      <c r="N43" s="13">
        <f t="shared" ref="N43:N53" si="5">K43</f>
        <v>0</v>
      </c>
      <c r="O43" s="12">
        <f t="shared" si="0"/>
        <v>0</v>
      </c>
      <c r="P43" s="11"/>
    </row>
    <row r="44" spans="1:16" ht="15.5" customHeight="1" x14ac:dyDescent="0.3">
      <c r="A44" s="304" t="s">
        <v>103</v>
      </c>
      <c r="B44" s="305"/>
      <c r="C44" s="306"/>
      <c r="D44" s="11"/>
      <c r="E44" s="82"/>
      <c r="F44" s="36"/>
      <c r="G44" s="82"/>
      <c r="H44" s="83"/>
      <c r="I44" s="92">
        <f t="shared" si="4"/>
        <v>0</v>
      </c>
      <c r="J44" s="82"/>
      <c r="K44" s="94"/>
      <c r="L44" s="82"/>
      <c r="M44" s="83"/>
      <c r="N44" s="96">
        <f t="shared" si="5"/>
        <v>0</v>
      </c>
      <c r="O44" s="71">
        <f t="shared" si="0"/>
        <v>0</v>
      </c>
      <c r="P44" s="11"/>
    </row>
    <row r="45" spans="1:16" ht="15.5" customHeight="1" x14ac:dyDescent="0.3">
      <c r="A45" s="46"/>
      <c r="B45" s="47"/>
      <c r="C45" s="15" t="s">
        <v>108</v>
      </c>
      <c r="D45" s="11"/>
      <c r="E45" s="82"/>
      <c r="F45" s="12"/>
      <c r="G45" s="82"/>
      <c r="H45" s="83"/>
      <c r="I45" s="13">
        <f t="shared" si="4"/>
        <v>0</v>
      </c>
      <c r="J45" s="82"/>
      <c r="K45" s="95"/>
      <c r="L45" s="82"/>
      <c r="M45" s="83"/>
      <c r="N45" s="13">
        <f t="shared" si="5"/>
        <v>0</v>
      </c>
      <c r="O45" s="12">
        <f t="shared" si="0"/>
        <v>0</v>
      </c>
      <c r="P45" s="11"/>
    </row>
    <row r="46" spans="1:16" ht="15.5" customHeight="1" x14ac:dyDescent="0.3">
      <c r="A46" s="304" t="s">
        <v>104</v>
      </c>
      <c r="B46" s="305"/>
      <c r="C46" s="306"/>
      <c r="D46" s="11"/>
      <c r="E46" s="82"/>
      <c r="F46" s="94"/>
      <c r="G46" s="82"/>
      <c r="H46" s="83"/>
      <c r="I46" s="92">
        <f t="shared" si="4"/>
        <v>0</v>
      </c>
      <c r="J46" s="82"/>
      <c r="K46" s="94"/>
      <c r="L46" s="82"/>
      <c r="M46" s="83"/>
      <c r="N46" s="96">
        <f t="shared" si="5"/>
        <v>0</v>
      </c>
      <c r="O46" s="71">
        <f t="shared" si="0"/>
        <v>0</v>
      </c>
      <c r="P46" s="11"/>
    </row>
    <row r="47" spans="1:16" ht="15.5" customHeight="1" x14ac:dyDescent="0.3">
      <c r="A47" s="46"/>
      <c r="B47" s="47"/>
      <c r="C47" s="15" t="s">
        <v>108</v>
      </c>
      <c r="D47" s="11"/>
      <c r="E47" s="82"/>
      <c r="F47" s="12"/>
      <c r="G47" s="82"/>
      <c r="H47" s="83"/>
      <c r="I47" s="13">
        <f t="shared" si="4"/>
        <v>0</v>
      </c>
      <c r="J47" s="82"/>
      <c r="K47" s="95"/>
      <c r="L47" s="82"/>
      <c r="M47" s="83"/>
      <c r="N47" s="13">
        <f t="shared" si="5"/>
        <v>0</v>
      </c>
      <c r="O47" s="12">
        <f t="shared" si="0"/>
        <v>0</v>
      </c>
      <c r="P47" s="11"/>
    </row>
    <row r="48" spans="1:16" ht="15.5" customHeight="1" x14ac:dyDescent="0.3">
      <c r="A48" s="304" t="s">
        <v>105</v>
      </c>
      <c r="B48" s="305"/>
      <c r="C48" s="306"/>
      <c r="D48" s="11"/>
      <c r="E48" s="82"/>
      <c r="F48" s="36"/>
      <c r="G48" s="82"/>
      <c r="H48" s="83"/>
      <c r="I48" s="92">
        <f t="shared" si="4"/>
        <v>0</v>
      </c>
      <c r="J48" s="82"/>
      <c r="K48" s="94"/>
      <c r="L48" s="82"/>
      <c r="M48" s="83"/>
      <c r="N48" s="96">
        <f t="shared" si="5"/>
        <v>0</v>
      </c>
      <c r="O48" s="71">
        <f t="shared" si="0"/>
        <v>0</v>
      </c>
      <c r="P48" s="11"/>
    </row>
    <row r="49" spans="1:16" ht="15.5" customHeight="1" x14ac:dyDescent="0.3">
      <c r="A49" s="46"/>
      <c r="B49" s="47"/>
      <c r="C49" s="15" t="s">
        <v>108</v>
      </c>
      <c r="D49" s="11"/>
      <c r="E49" s="82"/>
      <c r="F49" s="12"/>
      <c r="G49" s="82"/>
      <c r="H49" s="83"/>
      <c r="I49" s="13">
        <f t="shared" si="4"/>
        <v>0</v>
      </c>
      <c r="J49" s="82"/>
      <c r="K49" s="95"/>
      <c r="L49" s="82"/>
      <c r="M49" s="83"/>
      <c r="N49" s="13">
        <f t="shared" si="5"/>
        <v>0</v>
      </c>
      <c r="O49" s="12">
        <f t="shared" si="0"/>
        <v>0</v>
      </c>
      <c r="P49" s="11"/>
    </row>
    <row r="50" spans="1:16" ht="15.5" customHeight="1" x14ac:dyDescent="0.3">
      <c r="A50" s="304" t="s">
        <v>106</v>
      </c>
      <c r="B50" s="305"/>
      <c r="C50" s="306"/>
      <c r="D50" s="11"/>
      <c r="E50" s="82"/>
      <c r="F50" s="36"/>
      <c r="G50" s="82"/>
      <c r="H50" s="83"/>
      <c r="I50" s="92">
        <f t="shared" si="4"/>
        <v>0</v>
      </c>
      <c r="J50" s="82"/>
      <c r="K50" s="94"/>
      <c r="L50" s="82"/>
      <c r="M50" s="83"/>
      <c r="N50" s="96">
        <f t="shared" si="5"/>
        <v>0</v>
      </c>
      <c r="O50" s="71">
        <f t="shared" si="0"/>
        <v>0</v>
      </c>
      <c r="P50" s="11"/>
    </row>
    <row r="51" spans="1:16" ht="15.5" customHeight="1" x14ac:dyDescent="0.3">
      <c r="A51" s="46"/>
      <c r="B51" s="47"/>
      <c r="C51" s="15" t="s">
        <v>108</v>
      </c>
      <c r="D51" s="11"/>
      <c r="E51" s="82"/>
      <c r="F51" s="12"/>
      <c r="G51" s="82"/>
      <c r="H51" s="83"/>
      <c r="I51" s="13">
        <f t="shared" si="4"/>
        <v>0</v>
      </c>
      <c r="J51" s="82"/>
      <c r="K51" s="95"/>
      <c r="L51" s="82"/>
      <c r="M51" s="83"/>
      <c r="N51" s="13">
        <f t="shared" si="5"/>
        <v>0</v>
      </c>
      <c r="O51" s="12">
        <f t="shared" si="0"/>
        <v>0</v>
      </c>
      <c r="P51" s="11"/>
    </row>
    <row r="52" spans="1:16" ht="15.5" customHeight="1" x14ac:dyDescent="0.3">
      <c r="A52" s="304" t="s">
        <v>111</v>
      </c>
      <c r="B52" s="305"/>
      <c r="C52" s="306"/>
      <c r="D52" s="11"/>
      <c r="E52" s="82"/>
      <c r="F52" s="94"/>
      <c r="G52" s="82"/>
      <c r="H52" s="83"/>
      <c r="I52" s="92">
        <f t="shared" si="4"/>
        <v>0</v>
      </c>
      <c r="J52" s="82"/>
      <c r="K52" s="94"/>
      <c r="L52" s="82"/>
      <c r="M52" s="83"/>
      <c r="N52" s="96">
        <f t="shared" si="5"/>
        <v>0</v>
      </c>
      <c r="O52" s="71">
        <f t="shared" si="0"/>
        <v>0</v>
      </c>
      <c r="P52" s="11"/>
    </row>
    <row r="53" spans="1:16" ht="15.5" customHeight="1" x14ac:dyDescent="0.3">
      <c r="A53" s="37"/>
      <c r="B53" s="38"/>
      <c r="C53" s="15" t="s">
        <v>108</v>
      </c>
      <c r="D53" s="11"/>
      <c r="E53" s="82"/>
      <c r="F53" s="12"/>
      <c r="G53" s="82"/>
      <c r="H53" s="83"/>
      <c r="I53" s="13">
        <f t="shared" si="4"/>
        <v>0</v>
      </c>
      <c r="J53" s="82"/>
      <c r="K53" s="95"/>
      <c r="L53" s="82"/>
      <c r="M53" s="83"/>
      <c r="N53" s="13">
        <f t="shared" si="5"/>
        <v>0</v>
      </c>
      <c r="O53" s="12">
        <f t="shared" si="0"/>
        <v>0</v>
      </c>
      <c r="P53" s="11"/>
    </row>
    <row r="54" spans="1:16" ht="15.5" customHeight="1" x14ac:dyDescent="0.3">
      <c r="A54" s="37"/>
      <c r="B54" s="38"/>
      <c r="C54" s="39"/>
      <c r="D54" s="11"/>
      <c r="E54" s="12"/>
      <c r="F54" s="12"/>
      <c r="G54" s="12"/>
      <c r="H54" s="26"/>
      <c r="I54" s="13"/>
      <c r="J54" s="12"/>
      <c r="K54" s="12"/>
      <c r="L54" s="12"/>
      <c r="M54" s="26"/>
      <c r="N54" s="13"/>
      <c r="O54" s="71"/>
      <c r="P54" s="11"/>
    </row>
    <row r="55" spans="1:16" ht="25.75" customHeight="1" x14ac:dyDescent="0.3">
      <c r="A55" s="243" t="s">
        <v>52</v>
      </c>
      <c r="B55" s="244"/>
      <c r="C55" s="245"/>
      <c r="D55" s="16"/>
      <c r="E55" s="82"/>
      <c r="F55" s="82"/>
      <c r="G55" s="82"/>
      <c r="H55" s="83"/>
      <c r="I55" s="86"/>
      <c r="J55" s="82"/>
      <c r="K55" s="82"/>
      <c r="L55" s="82"/>
      <c r="M55" s="83"/>
      <c r="N55" s="86"/>
      <c r="O55" s="103"/>
      <c r="P55" s="86"/>
    </row>
    <row r="56" spans="1:16" ht="15.5" customHeight="1" x14ac:dyDescent="0.3">
      <c r="A56" s="246" t="s">
        <v>56</v>
      </c>
      <c r="B56" s="247"/>
      <c r="C56" s="248"/>
      <c r="D56" s="11"/>
      <c r="E56" s="82"/>
      <c r="F56" s="82"/>
      <c r="G56" s="82"/>
      <c r="H56" s="31"/>
      <c r="I56" s="92">
        <f>H56</f>
        <v>0</v>
      </c>
      <c r="J56" s="82"/>
      <c r="K56" s="82"/>
      <c r="L56" s="82"/>
      <c r="M56" s="31"/>
      <c r="N56" s="92">
        <f>M56</f>
        <v>0</v>
      </c>
      <c r="O56" s="71">
        <f t="shared" si="0"/>
        <v>0</v>
      </c>
      <c r="P56" s="11"/>
    </row>
    <row r="57" spans="1:16" ht="15.5" customHeight="1" x14ac:dyDescent="0.3">
      <c r="A57" s="40"/>
      <c r="B57" s="41"/>
      <c r="C57" s="15" t="s">
        <v>108</v>
      </c>
      <c r="D57" s="11"/>
      <c r="E57" s="82"/>
      <c r="F57" s="82"/>
      <c r="G57" s="82"/>
      <c r="H57" s="26"/>
      <c r="I57" s="13">
        <f t="shared" ref="I57:I61" si="6">H57</f>
        <v>0</v>
      </c>
      <c r="J57" s="82"/>
      <c r="K57" s="82"/>
      <c r="L57" s="82"/>
      <c r="M57" s="26"/>
      <c r="N57" s="13">
        <f t="shared" ref="N57:N61" si="7">M57</f>
        <v>0</v>
      </c>
      <c r="O57" s="12">
        <f t="shared" si="0"/>
        <v>0</v>
      </c>
      <c r="P57" s="11"/>
    </row>
    <row r="58" spans="1:16" ht="15.5" customHeight="1" x14ac:dyDescent="0.3">
      <c r="A58" s="246" t="s">
        <v>57</v>
      </c>
      <c r="B58" s="247"/>
      <c r="C58" s="248"/>
      <c r="D58" s="11"/>
      <c r="E58" s="82"/>
      <c r="F58" s="82"/>
      <c r="G58" s="82"/>
      <c r="H58" s="31"/>
      <c r="I58" s="92">
        <f t="shared" si="6"/>
        <v>0</v>
      </c>
      <c r="J58" s="82"/>
      <c r="K58" s="82"/>
      <c r="L58" s="82"/>
      <c r="M58" s="31"/>
      <c r="N58" s="92">
        <f t="shared" si="7"/>
        <v>0</v>
      </c>
      <c r="O58" s="71">
        <f t="shared" si="0"/>
        <v>0</v>
      </c>
      <c r="P58" s="11"/>
    </row>
    <row r="59" spans="1:16" ht="15.5" customHeight="1" x14ac:dyDescent="0.3">
      <c r="A59" s="40"/>
      <c r="B59" s="41"/>
      <c r="C59" s="15" t="s">
        <v>108</v>
      </c>
      <c r="D59" s="11"/>
      <c r="E59" s="82"/>
      <c r="F59" s="82"/>
      <c r="G59" s="82"/>
      <c r="H59" s="26"/>
      <c r="I59" s="13">
        <f t="shared" si="6"/>
        <v>0</v>
      </c>
      <c r="J59" s="82"/>
      <c r="K59" s="82"/>
      <c r="L59" s="82"/>
      <c r="M59" s="26"/>
      <c r="N59" s="13">
        <f t="shared" si="7"/>
        <v>0</v>
      </c>
      <c r="O59" s="12">
        <f t="shared" si="0"/>
        <v>0</v>
      </c>
      <c r="P59" s="11"/>
    </row>
    <row r="60" spans="1:16" ht="15.5" customHeight="1" x14ac:dyDescent="0.3">
      <c r="A60" s="246" t="s">
        <v>58</v>
      </c>
      <c r="B60" s="247"/>
      <c r="C60" s="248"/>
      <c r="D60" s="11"/>
      <c r="E60" s="82"/>
      <c r="F60" s="82"/>
      <c r="G60" s="82"/>
      <c r="H60" s="31"/>
      <c r="I60" s="92">
        <f t="shared" si="6"/>
        <v>0</v>
      </c>
      <c r="J60" s="82"/>
      <c r="K60" s="82"/>
      <c r="L60" s="82"/>
      <c r="M60" s="31"/>
      <c r="N60" s="92">
        <f t="shared" si="7"/>
        <v>0</v>
      </c>
      <c r="O60" s="71">
        <f t="shared" si="0"/>
        <v>0</v>
      </c>
      <c r="P60" s="11"/>
    </row>
    <row r="61" spans="1:16" ht="15.5" customHeight="1" x14ac:dyDescent="0.3">
      <c r="A61" s="40"/>
      <c r="B61" s="41"/>
      <c r="C61" s="15" t="s">
        <v>108</v>
      </c>
      <c r="D61" s="11"/>
      <c r="E61" s="82"/>
      <c r="F61" s="82"/>
      <c r="G61" s="82"/>
      <c r="H61" s="26"/>
      <c r="I61" s="13">
        <f t="shared" si="6"/>
        <v>0</v>
      </c>
      <c r="J61" s="82"/>
      <c r="K61" s="82"/>
      <c r="L61" s="82"/>
      <c r="M61" s="26"/>
      <c r="N61" s="13">
        <f t="shared" si="7"/>
        <v>0</v>
      </c>
      <c r="O61" s="12">
        <f t="shared" si="0"/>
        <v>0</v>
      </c>
      <c r="P61" s="11"/>
    </row>
    <row r="62" spans="1:16" ht="15.5" customHeight="1" x14ac:dyDescent="0.3">
      <c r="A62" s="214"/>
      <c r="B62" s="215"/>
      <c r="C62" s="216"/>
      <c r="D62" s="11"/>
      <c r="E62" s="12"/>
      <c r="F62" s="12"/>
      <c r="G62" s="12"/>
      <c r="H62" s="26"/>
      <c r="I62" s="13"/>
      <c r="J62" s="12"/>
      <c r="K62" s="12"/>
      <c r="L62" s="12"/>
      <c r="M62" s="26"/>
      <c r="N62" s="13"/>
      <c r="O62" s="71"/>
      <c r="P62" s="11"/>
    </row>
    <row r="63" spans="1:16" x14ac:dyDescent="0.3">
      <c r="A63" s="224" t="s">
        <v>59</v>
      </c>
      <c r="B63" s="225"/>
      <c r="C63" s="226"/>
      <c r="D63" s="11"/>
      <c r="E63" s="82"/>
      <c r="F63" s="82"/>
      <c r="G63" s="82"/>
      <c r="H63" s="83"/>
      <c r="I63" s="93"/>
      <c r="J63" s="82"/>
      <c r="K63" s="82"/>
      <c r="L63" s="82"/>
      <c r="M63" s="83"/>
      <c r="N63" s="93"/>
      <c r="O63" s="103"/>
      <c r="P63" s="87"/>
    </row>
    <row r="64" spans="1:16" x14ac:dyDescent="0.3">
      <c r="A64" s="295" t="s">
        <v>67</v>
      </c>
      <c r="B64" s="296"/>
      <c r="C64" s="297"/>
      <c r="D64" s="11"/>
      <c r="E64" s="82"/>
      <c r="F64" s="82"/>
      <c r="G64" s="82"/>
      <c r="H64" s="83"/>
      <c r="I64" s="93"/>
      <c r="J64" s="82"/>
      <c r="K64" s="82"/>
      <c r="L64" s="82"/>
      <c r="M64" s="83"/>
      <c r="N64" s="93"/>
      <c r="O64" s="103"/>
      <c r="P64" s="87"/>
    </row>
    <row r="65" spans="1:16" ht="15.5" customHeight="1" x14ac:dyDescent="0.3">
      <c r="A65" s="308" t="s">
        <v>68</v>
      </c>
      <c r="B65" s="309"/>
      <c r="C65" s="310"/>
      <c r="D65" s="11"/>
      <c r="E65" s="82"/>
      <c r="F65" s="82"/>
      <c r="G65" s="12"/>
      <c r="H65" s="26"/>
      <c r="I65" s="13">
        <f>SUM(G65:H65)</f>
        <v>0</v>
      </c>
      <c r="J65" s="12" t="s">
        <v>170</v>
      </c>
      <c r="K65" s="12"/>
      <c r="L65" s="12"/>
      <c r="M65" s="26"/>
      <c r="N65" s="13">
        <f>SUM(L65:M65)</f>
        <v>0</v>
      </c>
      <c r="O65" s="12">
        <f t="shared" si="0"/>
        <v>0</v>
      </c>
      <c r="P65" s="11"/>
    </row>
    <row r="66" spans="1:16" ht="15.5" customHeight="1" x14ac:dyDescent="0.3">
      <c r="A66" s="308" t="s">
        <v>69</v>
      </c>
      <c r="B66" s="309"/>
      <c r="C66" s="310"/>
      <c r="D66" s="11"/>
      <c r="E66" s="85"/>
      <c r="F66" s="85"/>
      <c r="G66" s="56"/>
      <c r="H66" s="60"/>
      <c r="I66" s="13">
        <f>SUM(G66:H66)</f>
        <v>0</v>
      </c>
      <c r="J66" s="56" t="s">
        <v>170</v>
      </c>
      <c r="K66" s="56"/>
      <c r="L66" s="56"/>
      <c r="M66" s="60"/>
      <c r="N66" s="13">
        <f>SUM(L66:M66)</f>
        <v>0</v>
      </c>
      <c r="O66" s="12">
        <f t="shared" si="0"/>
        <v>0</v>
      </c>
      <c r="P66" s="11"/>
    </row>
    <row r="67" spans="1:16" ht="27.65" customHeight="1" x14ac:dyDescent="0.3">
      <c r="A67" s="311" t="s">
        <v>66</v>
      </c>
      <c r="B67" s="312"/>
      <c r="C67" s="313"/>
      <c r="D67" s="16"/>
      <c r="E67" s="12"/>
      <c r="F67" s="61"/>
      <c r="G67" s="61"/>
      <c r="H67" s="63"/>
      <c r="I67" s="61">
        <f>SUM(E67:H67)</f>
        <v>0</v>
      </c>
      <c r="J67" s="12" t="s">
        <v>170</v>
      </c>
      <c r="K67" s="61"/>
      <c r="L67" s="61"/>
      <c r="M67" s="63"/>
      <c r="N67" s="61">
        <f>SUM(J67:M67)</f>
        <v>0</v>
      </c>
      <c r="O67" s="12">
        <f t="shared" si="0"/>
        <v>0</v>
      </c>
      <c r="P67" s="16"/>
    </row>
    <row r="68" spans="1:16" ht="15.5" customHeight="1" x14ac:dyDescent="0.3">
      <c r="A68" s="43"/>
      <c r="B68" s="44"/>
      <c r="C68" s="45"/>
      <c r="D68" s="16"/>
      <c r="E68" s="12"/>
      <c r="F68" s="12"/>
      <c r="G68" s="12"/>
      <c r="H68" s="26"/>
      <c r="I68" s="13"/>
      <c r="J68" s="12"/>
      <c r="K68" s="12"/>
      <c r="L68" s="12"/>
      <c r="M68" s="26"/>
      <c r="N68" s="13"/>
      <c r="O68" s="71"/>
      <c r="P68" s="16"/>
    </row>
    <row r="69" spans="1:16" x14ac:dyDescent="0.3">
      <c r="A69" s="295" t="s">
        <v>70</v>
      </c>
      <c r="B69" s="296"/>
      <c r="C69" s="297"/>
      <c r="D69" s="11"/>
      <c r="E69" s="82"/>
      <c r="F69" s="82"/>
      <c r="G69" s="82"/>
      <c r="H69" s="83"/>
      <c r="I69" s="93"/>
      <c r="J69" s="82"/>
      <c r="K69" s="82"/>
      <c r="L69" s="82"/>
      <c r="M69" s="83"/>
      <c r="N69" s="93"/>
      <c r="O69" s="103"/>
      <c r="P69" s="87"/>
    </row>
    <row r="70" spans="1:16" ht="15.5" customHeight="1" x14ac:dyDescent="0.3">
      <c r="A70" s="308" t="s">
        <v>74</v>
      </c>
      <c r="B70" s="309"/>
      <c r="C70" s="310"/>
      <c r="D70" s="11"/>
      <c r="E70" s="61"/>
      <c r="F70" s="61"/>
      <c r="G70" s="61"/>
      <c r="H70" s="61"/>
      <c r="I70" s="62">
        <f>SUM(E70:H70)</f>
        <v>0</v>
      </c>
      <c r="J70" s="61" t="s">
        <v>170</v>
      </c>
      <c r="K70" s="61"/>
      <c r="L70" s="61"/>
      <c r="M70" s="61"/>
      <c r="N70" s="62">
        <f>SUM(J70:M70)</f>
        <v>0</v>
      </c>
      <c r="O70" s="12">
        <f t="shared" si="0"/>
        <v>0</v>
      </c>
      <c r="P70" s="11"/>
    </row>
    <row r="71" spans="1:16" ht="15.5" customHeight="1" x14ac:dyDescent="0.3">
      <c r="A71" s="308" t="s">
        <v>71</v>
      </c>
      <c r="B71" s="309"/>
      <c r="C71" s="310"/>
      <c r="D71" s="11"/>
      <c r="E71" s="61"/>
      <c r="F71" s="61"/>
      <c r="G71" s="61"/>
      <c r="H71" s="63"/>
      <c r="I71" s="62">
        <f t="shared" ref="I71:I72" si="8">SUM(E71:H71)</f>
        <v>0</v>
      </c>
      <c r="J71" s="61" t="s">
        <v>170</v>
      </c>
      <c r="K71" s="61"/>
      <c r="L71" s="61"/>
      <c r="M71" s="63"/>
      <c r="N71" s="62">
        <f t="shared" ref="N71:N72" si="9">SUM(J71:M71)</f>
        <v>0</v>
      </c>
      <c r="O71" s="12">
        <f t="shared" si="0"/>
        <v>0</v>
      </c>
      <c r="P71" s="11"/>
    </row>
    <row r="72" spans="1:16" ht="15.5" customHeight="1" x14ac:dyDescent="0.3">
      <c r="A72" s="308" t="s">
        <v>72</v>
      </c>
      <c r="B72" s="309"/>
      <c r="C72" s="310"/>
      <c r="D72" s="11"/>
      <c r="E72" s="12"/>
      <c r="F72" s="12"/>
      <c r="G72" s="12"/>
      <c r="H72" s="26"/>
      <c r="I72" s="62">
        <f t="shared" si="8"/>
        <v>0</v>
      </c>
      <c r="J72" s="12" t="s">
        <v>170</v>
      </c>
      <c r="K72" s="12"/>
      <c r="L72" s="12"/>
      <c r="M72" s="26"/>
      <c r="N72" s="62">
        <f t="shared" si="9"/>
        <v>0</v>
      </c>
      <c r="O72" s="12">
        <f t="shared" si="0"/>
        <v>0</v>
      </c>
      <c r="P72" s="11"/>
    </row>
    <row r="73" spans="1:16" ht="15.5" customHeight="1" x14ac:dyDescent="0.3">
      <c r="A73" s="214"/>
      <c r="B73" s="215"/>
      <c r="C73" s="216"/>
      <c r="D73" s="11"/>
      <c r="E73" s="12"/>
      <c r="F73" s="12"/>
      <c r="G73" s="12"/>
      <c r="H73" s="26"/>
      <c r="I73" s="62"/>
      <c r="J73" s="12"/>
      <c r="K73" s="12"/>
      <c r="L73" s="12"/>
      <c r="M73" s="26"/>
      <c r="N73" s="62"/>
      <c r="O73" s="12"/>
      <c r="P73" s="11"/>
    </row>
    <row r="74" spans="1:16" x14ac:dyDescent="0.3">
      <c r="A74" s="295" t="s">
        <v>73</v>
      </c>
      <c r="B74" s="296"/>
      <c r="C74" s="297"/>
      <c r="D74" s="11"/>
      <c r="E74" s="12"/>
      <c r="F74" s="12"/>
      <c r="G74" s="12"/>
      <c r="H74" s="26"/>
      <c r="I74" s="62">
        <f>SUM(E74:H74)</f>
        <v>0</v>
      </c>
      <c r="J74" s="12" t="s">
        <v>170</v>
      </c>
      <c r="K74" s="12"/>
      <c r="L74" s="12"/>
      <c r="M74" s="26"/>
      <c r="N74" s="62">
        <f>SUM(J74:M74)</f>
        <v>0</v>
      </c>
      <c r="O74" s="12">
        <f t="shared" si="0"/>
        <v>0</v>
      </c>
      <c r="P74" s="11"/>
    </row>
    <row r="75" spans="1:16" ht="15.5" customHeight="1" x14ac:dyDescent="0.3">
      <c r="A75" s="214"/>
      <c r="B75" s="215"/>
      <c r="C75" s="216"/>
      <c r="D75" s="11"/>
      <c r="E75" s="12"/>
      <c r="F75" s="12"/>
      <c r="G75" s="12"/>
      <c r="H75" s="26"/>
      <c r="I75" s="13"/>
      <c r="J75" s="12"/>
      <c r="K75" s="12"/>
      <c r="L75" s="12"/>
      <c r="M75" s="26"/>
      <c r="N75" s="13"/>
      <c r="O75" s="104"/>
      <c r="P75" s="11"/>
    </row>
    <row r="76" spans="1:16" x14ac:dyDescent="0.3">
      <c r="A76" s="208" t="s">
        <v>42</v>
      </c>
      <c r="B76" s="209"/>
      <c r="C76" s="210"/>
      <c r="D76" s="19">
        <v>310300000000000</v>
      </c>
      <c r="E76" s="34"/>
      <c r="F76" s="34"/>
      <c r="G76" s="34"/>
      <c r="H76" s="29"/>
      <c r="I76" s="51"/>
      <c r="J76" s="34"/>
      <c r="K76" s="34"/>
      <c r="L76" s="34"/>
      <c r="M76" s="29"/>
      <c r="N76" s="51"/>
      <c r="O76" s="71"/>
      <c r="P76" s="9"/>
    </row>
    <row r="77" spans="1:16" x14ac:dyDescent="0.3">
      <c r="A77" s="211" t="s">
        <v>23</v>
      </c>
      <c r="B77" s="212"/>
      <c r="C77" s="213"/>
      <c r="D77" s="11"/>
      <c r="E77" s="82"/>
      <c r="F77" s="82"/>
      <c r="G77" s="82"/>
      <c r="H77" s="83"/>
      <c r="I77" s="93"/>
      <c r="J77" s="82"/>
      <c r="K77" s="82"/>
      <c r="L77" s="82"/>
      <c r="M77" s="83"/>
      <c r="N77" s="93"/>
      <c r="O77" s="103"/>
      <c r="P77" s="87"/>
    </row>
    <row r="78" spans="1:16" ht="12.65" customHeight="1" x14ac:dyDescent="0.3">
      <c r="A78" s="243" t="s">
        <v>77</v>
      </c>
      <c r="B78" s="244"/>
      <c r="C78" s="245"/>
      <c r="D78" s="16"/>
      <c r="E78" s="82"/>
      <c r="F78" s="82"/>
      <c r="G78" s="82"/>
      <c r="H78" s="83"/>
      <c r="I78" s="86"/>
      <c r="J78" s="82"/>
      <c r="K78" s="82"/>
      <c r="L78" s="82"/>
      <c r="M78" s="83"/>
      <c r="N78" s="86"/>
      <c r="O78" s="103"/>
      <c r="P78" s="86"/>
    </row>
    <row r="79" spans="1:16" ht="15" customHeight="1" x14ac:dyDescent="0.3">
      <c r="A79" s="246" t="s">
        <v>78</v>
      </c>
      <c r="B79" s="247"/>
      <c r="C79" s="248"/>
      <c r="D79" s="11"/>
      <c r="E79" s="82"/>
      <c r="F79" s="82"/>
      <c r="G79" s="82"/>
      <c r="H79" s="65"/>
      <c r="I79" s="66">
        <f>H79</f>
        <v>0</v>
      </c>
      <c r="J79" s="82"/>
      <c r="K79" s="82"/>
      <c r="L79" s="82"/>
      <c r="M79" s="65"/>
      <c r="N79" s="66">
        <f>M79</f>
        <v>0</v>
      </c>
      <c r="O79" s="71">
        <f t="shared" si="0"/>
        <v>0</v>
      </c>
      <c r="P79" s="11"/>
    </row>
    <row r="80" spans="1:16" ht="15" customHeight="1" x14ac:dyDescent="0.3">
      <c r="A80" s="40"/>
      <c r="B80" s="41"/>
      <c r="C80" s="15" t="s">
        <v>108</v>
      </c>
      <c r="D80" s="11"/>
      <c r="E80" s="82"/>
      <c r="F80" s="82"/>
      <c r="G80" s="82"/>
      <c r="H80" s="63"/>
      <c r="I80" s="99">
        <f t="shared" ref="I80:I86" si="10">H80</f>
        <v>0</v>
      </c>
      <c r="J80" s="82"/>
      <c r="K80" s="82"/>
      <c r="L80" s="82"/>
      <c r="M80" s="63"/>
      <c r="N80" s="99">
        <f t="shared" ref="N80:N86" si="11">M80</f>
        <v>0</v>
      </c>
      <c r="O80" s="12">
        <f t="shared" si="0"/>
        <v>0</v>
      </c>
      <c r="P80" s="11"/>
    </row>
    <row r="81" spans="1:16" ht="30" customHeight="1" x14ac:dyDescent="0.3">
      <c r="A81" s="258" t="s">
        <v>76</v>
      </c>
      <c r="B81" s="259"/>
      <c r="C81" s="260"/>
      <c r="D81" s="11"/>
      <c r="E81" s="82"/>
      <c r="F81" s="82"/>
      <c r="G81" s="82"/>
      <c r="H81" s="65"/>
      <c r="I81" s="66">
        <f t="shared" si="10"/>
        <v>0</v>
      </c>
      <c r="J81" s="82"/>
      <c r="K81" s="82"/>
      <c r="L81" s="82"/>
      <c r="M81" s="65"/>
      <c r="N81" s="66">
        <f t="shared" si="11"/>
        <v>0</v>
      </c>
      <c r="O81" s="71">
        <f t="shared" si="0"/>
        <v>0</v>
      </c>
      <c r="P81" s="11"/>
    </row>
    <row r="82" spans="1:16" ht="15.5" customHeight="1" x14ac:dyDescent="0.3">
      <c r="A82" s="40"/>
      <c r="B82" s="41"/>
      <c r="C82" s="15" t="s">
        <v>108</v>
      </c>
      <c r="D82" s="11"/>
      <c r="E82" s="82"/>
      <c r="F82" s="82"/>
      <c r="G82" s="82"/>
      <c r="H82" s="63"/>
      <c r="I82" s="99">
        <f t="shared" si="10"/>
        <v>0</v>
      </c>
      <c r="J82" s="82"/>
      <c r="K82" s="82"/>
      <c r="L82" s="82"/>
      <c r="M82" s="63"/>
      <c r="N82" s="99">
        <f t="shared" si="11"/>
        <v>0</v>
      </c>
      <c r="O82" s="12">
        <f t="shared" si="0"/>
        <v>0</v>
      </c>
      <c r="P82" s="11"/>
    </row>
    <row r="83" spans="1:16" ht="15.5" customHeight="1" x14ac:dyDescent="0.3">
      <c r="A83" s="246" t="s">
        <v>79</v>
      </c>
      <c r="B83" s="247"/>
      <c r="C83" s="248"/>
      <c r="D83" s="11"/>
      <c r="E83" s="82"/>
      <c r="F83" s="82"/>
      <c r="G83" s="82"/>
      <c r="H83" s="65"/>
      <c r="I83" s="66">
        <f t="shared" si="10"/>
        <v>0</v>
      </c>
      <c r="J83" s="82"/>
      <c r="K83" s="82"/>
      <c r="L83" s="82"/>
      <c r="M83" s="65"/>
      <c r="N83" s="66">
        <f t="shared" si="11"/>
        <v>0</v>
      </c>
      <c r="O83" s="71">
        <f t="shared" si="0"/>
        <v>0</v>
      </c>
      <c r="P83" s="11"/>
    </row>
    <row r="84" spans="1:16" ht="15.5" customHeight="1" x14ac:dyDescent="0.3">
      <c r="A84" s="40"/>
      <c r="B84" s="41"/>
      <c r="C84" s="15" t="s">
        <v>108</v>
      </c>
      <c r="D84" s="11"/>
      <c r="E84" s="82"/>
      <c r="F84" s="82"/>
      <c r="G84" s="82"/>
      <c r="H84" s="63"/>
      <c r="I84" s="99">
        <f t="shared" si="10"/>
        <v>0</v>
      </c>
      <c r="J84" s="82"/>
      <c r="K84" s="82"/>
      <c r="L84" s="82"/>
      <c r="M84" s="63"/>
      <c r="N84" s="99">
        <f t="shared" si="11"/>
        <v>0</v>
      </c>
      <c r="O84" s="12">
        <f t="shared" si="0"/>
        <v>0</v>
      </c>
      <c r="P84" s="11"/>
    </row>
    <row r="85" spans="1:16" ht="15.5" customHeight="1" x14ac:dyDescent="0.3">
      <c r="A85" s="246" t="s">
        <v>81</v>
      </c>
      <c r="B85" s="247"/>
      <c r="C85" s="248"/>
      <c r="D85" s="11"/>
      <c r="E85" s="82"/>
      <c r="F85" s="82"/>
      <c r="G85" s="82"/>
      <c r="H85" s="65"/>
      <c r="I85" s="66">
        <f t="shared" si="10"/>
        <v>0</v>
      </c>
      <c r="J85" s="82"/>
      <c r="K85" s="82"/>
      <c r="L85" s="82"/>
      <c r="M85" s="65"/>
      <c r="N85" s="66">
        <f t="shared" si="11"/>
        <v>0</v>
      </c>
      <c r="O85" s="71">
        <f t="shared" ref="O85:O128" si="12">N85-I85</f>
        <v>0</v>
      </c>
      <c r="P85" s="11"/>
    </row>
    <row r="86" spans="1:16" ht="15.5" customHeight="1" x14ac:dyDescent="0.3">
      <c r="A86" s="37"/>
      <c r="B86" s="38"/>
      <c r="C86" s="15" t="s">
        <v>108</v>
      </c>
      <c r="D86" s="11"/>
      <c r="E86" s="82"/>
      <c r="F86" s="82"/>
      <c r="G86" s="82"/>
      <c r="H86" s="63"/>
      <c r="I86" s="99">
        <f t="shared" si="10"/>
        <v>0</v>
      </c>
      <c r="J86" s="82"/>
      <c r="K86" s="82"/>
      <c r="L86" s="82"/>
      <c r="M86" s="63"/>
      <c r="N86" s="99">
        <f t="shared" si="11"/>
        <v>0</v>
      </c>
      <c r="O86" s="12">
        <f t="shared" si="12"/>
        <v>0</v>
      </c>
      <c r="P86" s="11"/>
    </row>
    <row r="87" spans="1:16" ht="15.5" customHeight="1" x14ac:dyDescent="0.3">
      <c r="A87" s="214"/>
      <c r="B87" s="215"/>
      <c r="C87" s="216"/>
      <c r="D87" s="11"/>
      <c r="E87" s="12"/>
      <c r="F87" s="12"/>
      <c r="G87" s="12"/>
      <c r="H87" s="63"/>
      <c r="I87" s="13"/>
      <c r="J87" s="12"/>
      <c r="K87" s="12"/>
      <c r="L87" s="12"/>
      <c r="M87" s="63"/>
      <c r="N87" s="13"/>
      <c r="O87" s="71"/>
      <c r="P87" s="11"/>
    </row>
    <row r="88" spans="1:16" ht="13" customHeight="1" x14ac:dyDescent="0.3">
      <c r="A88" s="261" t="s">
        <v>80</v>
      </c>
      <c r="B88" s="262"/>
      <c r="C88" s="263"/>
      <c r="D88" s="16"/>
      <c r="E88" s="82"/>
      <c r="F88" s="82"/>
      <c r="G88" s="82"/>
      <c r="H88" s="64"/>
      <c r="I88" s="66">
        <f>H88</f>
        <v>0</v>
      </c>
      <c r="J88" s="82"/>
      <c r="K88" s="82"/>
      <c r="L88" s="82"/>
      <c r="M88" s="64"/>
      <c r="N88" s="66">
        <f>M88</f>
        <v>0</v>
      </c>
      <c r="O88" s="71">
        <f t="shared" si="12"/>
        <v>0</v>
      </c>
      <c r="P88" s="16"/>
    </row>
    <row r="89" spans="1:16" ht="15.5" customHeight="1" x14ac:dyDescent="0.3">
      <c r="A89" s="214"/>
      <c r="B89" s="215"/>
      <c r="C89" s="216"/>
      <c r="D89" s="11"/>
      <c r="E89" s="12"/>
      <c r="F89" s="12"/>
      <c r="G89" s="12"/>
      <c r="H89" s="26"/>
      <c r="I89" s="13"/>
      <c r="J89" s="12"/>
      <c r="K89" s="12"/>
      <c r="L89" s="12"/>
      <c r="M89" s="26"/>
      <c r="N89" s="13"/>
      <c r="O89" s="71"/>
      <c r="P89" s="11"/>
    </row>
    <row r="90" spans="1:16" x14ac:dyDescent="0.3">
      <c r="A90" s="264" t="s">
        <v>59</v>
      </c>
      <c r="B90" s="265"/>
      <c r="C90" s="266"/>
      <c r="D90" s="11"/>
      <c r="E90" s="82"/>
      <c r="F90" s="82"/>
      <c r="G90" s="82"/>
      <c r="H90" s="83"/>
      <c r="I90" s="93"/>
      <c r="J90" s="82"/>
      <c r="K90" s="82"/>
      <c r="L90" s="82"/>
      <c r="M90" s="83"/>
      <c r="N90" s="93"/>
      <c r="O90" s="103"/>
      <c r="P90" s="87"/>
    </row>
    <row r="91" spans="1:16" x14ac:dyDescent="0.3">
      <c r="A91" s="264" t="s">
        <v>82</v>
      </c>
      <c r="B91" s="265"/>
      <c r="C91" s="266"/>
      <c r="D91" s="11"/>
      <c r="E91" s="82"/>
      <c r="F91" s="82"/>
      <c r="G91" s="82"/>
      <c r="H91" s="83"/>
      <c r="I91" s="93"/>
      <c r="J91" s="82"/>
      <c r="K91" s="82"/>
      <c r="L91" s="82"/>
      <c r="M91" s="83"/>
      <c r="N91" s="93"/>
      <c r="O91" s="103"/>
      <c r="P91" s="87"/>
    </row>
    <row r="92" spans="1:16" ht="15.5" customHeight="1" x14ac:dyDescent="0.3">
      <c r="A92" s="246" t="s">
        <v>83</v>
      </c>
      <c r="B92" s="247"/>
      <c r="C92" s="248"/>
      <c r="D92" s="11"/>
      <c r="E92" s="82"/>
      <c r="F92" s="82"/>
      <c r="G92" s="26"/>
      <c r="H92" s="83"/>
      <c r="I92" s="13">
        <f>G92</f>
        <v>0</v>
      </c>
      <c r="J92" s="82"/>
      <c r="K92" s="82"/>
      <c r="L92" s="26"/>
      <c r="M92" s="83"/>
      <c r="N92" s="13">
        <f>L92</f>
        <v>0</v>
      </c>
      <c r="O92" s="12">
        <f t="shared" si="12"/>
        <v>0</v>
      </c>
      <c r="P92" s="11"/>
    </row>
    <row r="93" spans="1:16" ht="15.5" customHeight="1" x14ac:dyDescent="0.3">
      <c r="A93" s="246" t="s">
        <v>84</v>
      </c>
      <c r="B93" s="247"/>
      <c r="C93" s="248"/>
      <c r="D93" s="11"/>
      <c r="E93" s="82"/>
      <c r="F93" s="82"/>
      <c r="G93" s="26"/>
      <c r="H93" s="83"/>
      <c r="I93" s="13">
        <f t="shared" ref="I93:I96" si="13">G93</f>
        <v>0</v>
      </c>
      <c r="J93" s="82"/>
      <c r="K93" s="82"/>
      <c r="L93" s="26"/>
      <c r="M93" s="83"/>
      <c r="N93" s="13">
        <f t="shared" ref="N93:N96" si="14">L93</f>
        <v>0</v>
      </c>
      <c r="O93" s="12">
        <f t="shared" si="12"/>
        <v>0</v>
      </c>
      <c r="P93" s="11"/>
    </row>
    <row r="94" spans="1:16" ht="15.5" customHeight="1" x14ac:dyDescent="0.3">
      <c r="A94" s="246" t="s">
        <v>85</v>
      </c>
      <c r="B94" s="247"/>
      <c r="C94" s="248"/>
      <c r="D94" s="11"/>
      <c r="E94" s="82"/>
      <c r="F94" s="82"/>
      <c r="G94" s="26"/>
      <c r="H94" s="83"/>
      <c r="I94" s="13">
        <f t="shared" si="13"/>
        <v>0</v>
      </c>
      <c r="J94" s="82"/>
      <c r="K94" s="82"/>
      <c r="L94" s="26"/>
      <c r="M94" s="83"/>
      <c r="N94" s="13">
        <f t="shared" si="14"/>
        <v>0</v>
      </c>
      <c r="O94" s="12">
        <f t="shared" si="12"/>
        <v>0</v>
      </c>
      <c r="P94" s="11"/>
    </row>
    <row r="95" spans="1:16" ht="34.75" customHeight="1" x14ac:dyDescent="0.3">
      <c r="A95" s="252" t="s">
        <v>112</v>
      </c>
      <c r="B95" s="253"/>
      <c r="C95" s="254"/>
      <c r="D95" s="11"/>
      <c r="E95" s="82"/>
      <c r="F95" s="82"/>
      <c r="G95" s="26"/>
      <c r="H95" s="83"/>
      <c r="I95" s="13">
        <f t="shared" si="13"/>
        <v>0</v>
      </c>
      <c r="J95" s="82"/>
      <c r="K95" s="82"/>
      <c r="L95" s="26"/>
      <c r="M95" s="83"/>
      <c r="N95" s="13">
        <f t="shared" si="14"/>
        <v>0</v>
      </c>
      <c r="O95" s="12">
        <f t="shared" si="12"/>
        <v>0</v>
      </c>
      <c r="P95" s="11"/>
    </row>
    <row r="96" spans="1:16" x14ac:dyDescent="0.3">
      <c r="A96" s="252" t="s">
        <v>65</v>
      </c>
      <c r="B96" s="253"/>
      <c r="C96" s="254"/>
      <c r="D96" s="11"/>
      <c r="E96" s="82"/>
      <c r="F96" s="82"/>
      <c r="G96" s="68"/>
      <c r="H96" s="84"/>
      <c r="I96" s="13">
        <f t="shared" si="13"/>
        <v>0</v>
      </c>
      <c r="J96" s="82"/>
      <c r="K96" s="82"/>
      <c r="L96" s="68"/>
      <c r="M96" s="84"/>
      <c r="N96" s="13">
        <f t="shared" si="14"/>
        <v>0</v>
      </c>
      <c r="O96" s="12">
        <f t="shared" si="12"/>
        <v>0</v>
      </c>
      <c r="P96" s="11"/>
    </row>
    <row r="97" spans="1:16" x14ac:dyDescent="0.3">
      <c r="A97" s="211"/>
      <c r="B97" s="212"/>
      <c r="C97" s="213"/>
      <c r="D97" s="11"/>
      <c r="E97" s="12"/>
      <c r="F97" s="12"/>
      <c r="G97" s="12"/>
      <c r="H97" s="26"/>
      <c r="I97" s="16"/>
      <c r="J97" s="12"/>
      <c r="K97" s="12"/>
      <c r="L97" s="12"/>
      <c r="M97" s="26"/>
      <c r="N97" s="16"/>
      <c r="O97" s="104"/>
      <c r="P97" s="11"/>
    </row>
    <row r="98" spans="1:16" x14ac:dyDescent="0.3">
      <c r="A98" s="208" t="s">
        <v>41</v>
      </c>
      <c r="B98" s="209"/>
      <c r="C98" s="210"/>
      <c r="D98" s="19">
        <v>310400000000000</v>
      </c>
      <c r="E98" s="34"/>
      <c r="F98" s="34"/>
      <c r="G98" s="34"/>
      <c r="H98" s="29"/>
      <c r="I98" s="51"/>
      <c r="J98" s="9"/>
      <c r="K98" s="9"/>
      <c r="L98" s="9"/>
      <c r="M98" s="9"/>
      <c r="N98" s="9"/>
      <c r="O98" s="71"/>
      <c r="P98" s="9"/>
    </row>
    <row r="99" spans="1:16" x14ac:dyDescent="0.3">
      <c r="A99" s="211" t="s">
        <v>86</v>
      </c>
      <c r="B99" s="212"/>
      <c r="C99" s="213"/>
      <c r="D99" s="11"/>
      <c r="E99" s="82"/>
      <c r="F99" s="82"/>
      <c r="G99" s="82"/>
      <c r="H99" s="83"/>
      <c r="I99" s="93"/>
      <c r="J99" s="87"/>
      <c r="K99" s="87"/>
      <c r="L99" s="87"/>
      <c r="M99" s="87"/>
      <c r="N99" s="87"/>
      <c r="O99" s="103"/>
      <c r="P99" s="87"/>
    </row>
    <row r="100" spans="1:16" ht="13" customHeight="1" x14ac:dyDescent="0.3">
      <c r="A100" s="243" t="s">
        <v>87</v>
      </c>
      <c r="B100" s="244"/>
      <c r="C100" s="245"/>
      <c r="D100" s="16"/>
      <c r="E100" s="82"/>
      <c r="F100" s="82"/>
      <c r="G100" s="82"/>
      <c r="H100" s="83"/>
      <c r="I100" s="86"/>
      <c r="J100" s="86"/>
      <c r="K100" s="86"/>
      <c r="L100" s="86"/>
      <c r="M100" s="86"/>
      <c r="N100" s="86"/>
      <c r="O100" s="103"/>
      <c r="P100" s="86"/>
    </row>
    <row r="101" spans="1:16" ht="15.5" customHeight="1" x14ac:dyDescent="0.3">
      <c r="A101" s="246" t="s">
        <v>56</v>
      </c>
      <c r="B101" s="247"/>
      <c r="C101" s="248"/>
      <c r="D101" s="11"/>
      <c r="E101" s="82"/>
      <c r="F101" s="82"/>
      <c r="G101" s="82"/>
      <c r="H101" s="68"/>
      <c r="I101" s="96">
        <f>H101</f>
        <v>0</v>
      </c>
      <c r="J101" s="82"/>
      <c r="K101" s="82"/>
      <c r="L101" s="82"/>
      <c r="M101" s="101"/>
      <c r="N101" s="102">
        <f>M101</f>
        <v>0</v>
      </c>
      <c r="O101" s="71">
        <f t="shared" si="12"/>
        <v>0</v>
      </c>
      <c r="P101" s="11"/>
    </row>
    <row r="102" spans="1:16" ht="15.5" customHeight="1" x14ac:dyDescent="0.3">
      <c r="A102" s="246" t="s">
        <v>88</v>
      </c>
      <c r="B102" s="247"/>
      <c r="C102" s="248"/>
      <c r="D102" s="11"/>
      <c r="E102" s="82"/>
      <c r="F102" s="82"/>
      <c r="G102" s="82"/>
      <c r="H102" s="31"/>
      <c r="I102" s="96">
        <f>H102</f>
        <v>0</v>
      </c>
      <c r="J102" s="82"/>
      <c r="K102" s="82"/>
      <c r="L102" s="82"/>
      <c r="M102" s="101"/>
      <c r="N102" s="102">
        <f>M102</f>
        <v>0</v>
      </c>
      <c r="O102" s="71">
        <f t="shared" si="12"/>
        <v>0</v>
      </c>
      <c r="P102" s="11"/>
    </row>
    <row r="103" spans="1:16" ht="13" customHeight="1" x14ac:dyDescent="0.3">
      <c r="A103" s="243" t="s">
        <v>89</v>
      </c>
      <c r="B103" s="244"/>
      <c r="C103" s="245"/>
      <c r="D103" s="16"/>
      <c r="E103" s="82"/>
      <c r="F103" s="82"/>
      <c r="G103" s="82"/>
      <c r="H103" s="100"/>
      <c r="I103" s="86"/>
      <c r="J103" s="82"/>
      <c r="K103" s="82"/>
      <c r="L103" s="82"/>
      <c r="M103" s="86"/>
      <c r="N103" s="86"/>
      <c r="O103" s="103"/>
      <c r="P103" s="86"/>
    </row>
    <row r="104" spans="1:16" ht="15.5" customHeight="1" x14ac:dyDescent="0.3">
      <c r="A104" s="246" t="s">
        <v>56</v>
      </c>
      <c r="B104" s="247"/>
      <c r="C104" s="248"/>
      <c r="D104" s="11"/>
      <c r="E104" s="82"/>
      <c r="F104" s="82"/>
      <c r="G104" s="82"/>
      <c r="H104" s="31"/>
      <c r="I104" s="96">
        <f>H104</f>
        <v>0</v>
      </c>
      <c r="J104" s="82"/>
      <c r="K104" s="82"/>
      <c r="L104" s="82"/>
      <c r="M104" s="101"/>
      <c r="N104" s="71">
        <f>M104</f>
        <v>0</v>
      </c>
      <c r="O104" s="71">
        <f t="shared" si="12"/>
        <v>0</v>
      </c>
      <c r="P104" s="11"/>
    </row>
    <row r="105" spans="1:16" ht="15.5" customHeight="1" x14ac:dyDescent="0.3">
      <c r="A105" s="246" t="s">
        <v>88</v>
      </c>
      <c r="B105" s="247"/>
      <c r="C105" s="248"/>
      <c r="D105" s="11"/>
      <c r="E105" s="82"/>
      <c r="F105" s="82"/>
      <c r="G105" s="82"/>
      <c r="H105" s="31"/>
      <c r="I105" s="96">
        <f>H105</f>
        <v>0</v>
      </c>
      <c r="J105" s="82"/>
      <c r="K105" s="82"/>
      <c r="L105" s="82"/>
      <c r="M105" s="101"/>
      <c r="N105" s="71">
        <f>M105</f>
        <v>0</v>
      </c>
      <c r="O105" s="71">
        <f t="shared" si="12"/>
        <v>0</v>
      </c>
      <c r="P105" s="11"/>
    </row>
    <row r="106" spans="1:16" ht="27.65" customHeight="1" x14ac:dyDescent="0.3">
      <c r="A106" s="243" t="s">
        <v>90</v>
      </c>
      <c r="B106" s="244"/>
      <c r="C106" s="245"/>
      <c r="D106" s="16"/>
      <c r="E106" s="82"/>
      <c r="F106" s="82"/>
      <c r="G106" s="82"/>
      <c r="H106" s="83"/>
      <c r="I106" s="86"/>
      <c r="J106" s="86"/>
      <c r="K106" s="86"/>
      <c r="L106" s="86"/>
      <c r="M106" s="86"/>
      <c r="N106" s="86"/>
      <c r="O106" s="103"/>
      <c r="P106" s="86"/>
    </row>
    <row r="107" spans="1:16" ht="15.5" customHeight="1" x14ac:dyDescent="0.3">
      <c r="A107" s="246" t="s">
        <v>91</v>
      </c>
      <c r="B107" s="247"/>
      <c r="C107" s="248"/>
      <c r="D107" s="11"/>
      <c r="E107" s="109">
        <v>1</v>
      </c>
      <c r="F107" s="82"/>
      <c r="G107" s="82"/>
      <c r="H107" s="83"/>
      <c r="I107" s="96">
        <f>E107</f>
        <v>1</v>
      </c>
      <c r="J107" s="156" t="s">
        <v>170</v>
      </c>
      <c r="K107" s="82"/>
      <c r="L107" s="82"/>
      <c r="M107" s="83"/>
      <c r="N107" s="71" t="str">
        <f>J107</f>
        <v>-</v>
      </c>
      <c r="O107" s="71" t="e">
        <f t="shared" si="12"/>
        <v>#VALUE!</v>
      </c>
      <c r="P107" s="11"/>
    </row>
    <row r="108" spans="1:16" ht="15.5" customHeight="1" x14ac:dyDescent="0.3">
      <c r="A108" s="246" t="s">
        <v>92</v>
      </c>
      <c r="B108" s="247"/>
      <c r="C108" s="248"/>
      <c r="D108" s="11"/>
      <c r="E108" s="109">
        <v>1</v>
      </c>
      <c r="F108" s="82"/>
      <c r="G108" s="82"/>
      <c r="H108" s="83"/>
      <c r="I108" s="96">
        <f t="shared" ref="I108:I109" si="15">E108</f>
        <v>1</v>
      </c>
      <c r="J108" s="156" t="s">
        <v>170</v>
      </c>
      <c r="K108" s="82"/>
      <c r="L108" s="82"/>
      <c r="M108" s="83"/>
      <c r="N108" s="71" t="str">
        <f t="shared" ref="N108:N109" si="16">J108</f>
        <v>-</v>
      </c>
      <c r="O108" s="71" t="e">
        <f t="shared" si="12"/>
        <v>#VALUE!</v>
      </c>
      <c r="P108" s="11"/>
    </row>
    <row r="109" spans="1:16" ht="15.5" customHeight="1" x14ac:dyDescent="0.3">
      <c r="A109" s="246" t="s">
        <v>93</v>
      </c>
      <c r="B109" s="247"/>
      <c r="C109" s="248"/>
      <c r="D109" s="11"/>
      <c r="E109" s="109">
        <v>1</v>
      </c>
      <c r="F109" s="82"/>
      <c r="G109" s="82"/>
      <c r="H109" s="83"/>
      <c r="I109" s="96">
        <f t="shared" si="15"/>
        <v>1</v>
      </c>
      <c r="J109" s="156" t="s">
        <v>170</v>
      </c>
      <c r="K109" s="82"/>
      <c r="L109" s="82"/>
      <c r="M109" s="83"/>
      <c r="N109" s="71" t="str">
        <f t="shared" si="16"/>
        <v>-</v>
      </c>
      <c r="O109" s="71" t="e">
        <f t="shared" si="12"/>
        <v>#VALUE!</v>
      </c>
      <c r="P109" s="11"/>
    </row>
    <row r="110" spans="1:16" ht="15.5" customHeight="1" x14ac:dyDescent="0.3">
      <c r="A110" s="14"/>
      <c r="B110" s="3"/>
      <c r="C110" s="15"/>
      <c r="D110" s="11"/>
      <c r="E110" s="12"/>
      <c r="F110" s="12"/>
      <c r="G110" s="12"/>
      <c r="H110" s="26"/>
      <c r="I110" s="13"/>
      <c r="J110" s="11"/>
      <c r="K110" s="11"/>
      <c r="L110" s="11"/>
      <c r="M110" s="11"/>
      <c r="N110" s="11"/>
      <c r="O110" s="71"/>
      <c r="P110" s="11"/>
    </row>
    <row r="111" spans="1:16" x14ac:dyDescent="0.3">
      <c r="A111" s="211" t="s">
        <v>24</v>
      </c>
      <c r="B111" s="212"/>
      <c r="C111" s="213"/>
      <c r="D111" s="11"/>
      <c r="E111" s="82"/>
      <c r="F111" s="82"/>
      <c r="G111" s="82"/>
      <c r="H111" s="83"/>
      <c r="I111" s="93"/>
      <c r="J111" s="87"/>
      <c r="K111" s="87"/>
      <c r="L111" s="87"/>
      <c r="M111" s="87"/>
      <c r="N111" s="87"/>
      <c r="O111" s="103"/>
      <c r="P111" s="87"/>
    </row>
    <row r="112" spans="1:16" s="22" customFormat="1" ht="22.25" customHeight="1" x14ac:dyDescent="0.3">
      <c r="A112" s="252" t="s">
        <v>94</v>
      </c>
      <c r="B112" s="253"/>
      <c r="C112" s="254"/>
      <c r="D112" s="16"/>
      <c r="E112" s="82"/>
      <c r="F112" s="82"/>
      <c r="G112" s="82"/>
      <c r="H112" s="83"/>
      <c r="I112" s="86"/>
      <c r="J112" s="86"/>
      <c r="K112" s="86"/>
      <c r="L112" s="86"/>
      <c r="M112" s="86"/>
      <c r="N112" s="86"/>
      <c r="O112" s="103"/>
      <c r="P112" s="86"/>
    </row>
    <row r="113" spans="1:16" ht="15.5" customHeight="1" x14ac:dyDescent="0.3">
      <c r="A113" s="211" t="s">
        <v>28</v>
      </c>
      <c r="B113" s="212"/>
      <c r="C113" s="213"/>
      <c r="D113" s="11"/>
      <c r="E113" s="82"/>
      <c r="F113" s="82"/>
      <c r="G113" s="82"/>
      <c r="H113" s="63"/>
      <c r="I113" s="13">
        <f>H113</f>
        <v>0</v>
      </c>
      <c r="J113" s="82"/>
      <c r="K113" s="82"/>
      <c r="L113" s="82"/>
      <c r="M113" s="11"/>
      <c r="N113" s="12">
        <f>M113</f>
        <v>0</v>
      </c>
      <c r="O113" s="12">
        <f t="shared" si="12"/>
        <v>0</v>
      </c>
      <c r="P113" s="11"/>
    </row>
    <row r="114" spans="1:16" ht="15.5" customHeight="1" x14ac:dyDescent="0.3">
      <c r="A114" s="211" t="s">
        <v>29</v>
      </c>
      <c r="B114" s="212"/>
      <c r="C114" s="213"/>
      <c r="D114" s="11"/>
      <c r="E114" s="82"/>
      <c r="F114" s="82"/>
      <c r="G114" s="82"/>
      <c r="H114" s="63"/>
      <c r="I114" s="13">
        <f>H114</f>
        <v>0</v>
      </c>
      <c r="J114" s="82"/>
      <c r="K114" s="82"/>
      <c r="L114" s="82"/>
      <c r="M114" s="11"/>
      <c r="N114" s="12">
        <f>M114</f>
        <v>0</v>
      </c>
      <c r="O114" s="12">
        <f t="shared" si="12"/>
        <v>0</v>
      </c>
      <c r="P114" s="11"/>
    </row>
    <row r="115" spans="1:16" ht="15.5" customHeight="1" x14ac:dyDescent="0.3">
      <c r="A115" s="14"/>
      <c r="B115" s="3"/>
      <c r="C115" s="15"/>
      <c r="D115" s="11"/>
      <c r="E115" s="12"/>
      <c r="F115" s="12"/>
      <c r="G115" s="12"/>
      <c r="H115" s="26"/>
      <c r="I115" s="13"/>
      <c r="J115" s="11"/>
      <c r="K115" s="11"/>
      <c r="L115" s="11"/>
      <c r="M115" s="11"/>
      <c r="N115" s="11"/>
      <c r="O115" s="71"/>
      <c r="P115" s="11"/>
    </row>
    <row r="116" spans="1:16" ht="13" customHeight="1" x14ac:dyDescent="0.3">
      <c r="A116" s="243" t="s">
        <v>95</v>
      </c>
      <c r="B116" s="244"/>
      <c r="C116" s="245"/>
      <c r="D116" s="11"/>
      <c r="E116" s="82"/>
      <c r="F116" s="82"/>
      <c r="G116" s="82"/>
      <c r="H116" s="83"/>
      <c r="I116" s="86"/>
      <c r="J116" s="87"/>
      <c r="K116" s="87"/>
      <c r="L116" s="87"/>
      <c r="M116" s="87"/>
      <c r="N116" s="87"/>
      <c r="O116" s="103"/>
      <c r="P116" s="87"/>
    </row>
    <row r="117" spans="1:16" ht="15.5" customHeight="1" x14ac:dyDescent="0.3">
      <c r="A117" s="211" t="s">
        <v>30</v>
      </c>
      <c r="B117" s="212"/>
      <c r="C117" s="213"/>
      <c r="D117" s="11"/>
      <c r="E117" s="82"/>
      <c r="F117" s="82"/>
      <c r="G117" s="82"/>
      <c r="H117" s="26"/>
      <c r="I117" s="13">
        <f>H117</f>
        <v>0</v>
      </c>
      <c r="J117" s="82"/>
      <c r="K117" s="82"/>
      <c r="L117" s="82"/>
      <c r="M117" s="11"/>
      <c r="N117" s="12">
        <f>M117</f>
        <v>0</v>
      </c>
      <c r="O117" s="12">
        <f t="shared" si="12"/>
        <v>0</v>
      </c>
      <c r="P117" s="11"/>
    </row>
    <row r="118" spans="1:16" ht="15.5" customHeight="1" x14ac:dyDescent="0.3">
      <c r="A118" s="211" t="s">
        <v>31</v>
      </c>
      <c r="B118" s="212"/>
      <c r="C118" s="213"/>
      <c r="D118" s="11"/>
      <c r="E118" s="82"/>
      <c r="F118" s="82"/>
      <c r="G118" s="82"/>
      <c r="H118" s="26"/>
      <c r="I118" s="13">
        <f t="shared" ref="I118:I119" si="17">H118</f>
        <v>0</v>
      </c>
      <c r="J118" s="82"/>
      <c r="K118" s="82"/>
      <c r="L118" s="82"/>
      <c r="M118" s="11"/>
      <c r="N118" s="12">
        <f t="shared" ref="N118:N119" si="18">M118</f>
        <v>0</v>
      </c>
      <c r="O118" s="12">
        <f t="shared" si="12"/>
        <v>0</v>
      </c>
      <c r="P118" s="11"/>
    </row>
    <row r="119" spans="1:16" ht="15.5" customHeight="1" x14ac:dyDescent="0.3">
      <c r="A119" s="211" t="s">
        <v>32</v>
      </c>
      <c r="B119" s="212"/>
      <c r="C119" s="213"/>
      <c r="D119" s="11"/>
      <c r="E119" s="82"/>
      <c r="F119" s="82"/>
      <c r="G119" s="82"/>
      <c r="H119" s="26"/>
      <c r="I119" s="13">
        <f t="shared" si="17"/>
        <v>0</v>
      </c>
      <c r="J119" s="82"/>
      <c r="K119" s="82"/>
      <c r="L119" s="82"/>
      <c r="M119" s="11"/>
      <c r="N119" s="12">
        <f t="shared" si="18"/>
        <v>0</v>
      </c>
      <c r="O119" s="12">
        <f t="shared" si="12"/>
        <v>0</v>
      </c>
      <c r="P119" s="11"/>
    </row>
    <row r="120" spans="1:16" ht="13" customHeight="1" x14ac:dyDescent="0.3">
      <c r="A120" s="261"/>
      <c r="B120" s="262"/>
      <c r="C120" s="263"/>
      <c r="D120" s="16"/>
      <c r="E120" s="12"/>
      <c r="F120" s="12"/>
      <c r="G120" s="12"/>
      <c r="H120" s="26"/>
      <c r="I120" s="16"/>
      <c r="J120" s="16"/>
      <c r="K120" s="16"/>
      <c r="L120" s="16"/>
      <c r="M120" s="16"/>
      <c r="N120" s="16"/>
      <c r="O120" s="104"/>
      <c r="P120" s="16"/>
    </row>
    <row r="121" spans="1:16" x14ac:dyDescent="0.3">
      <c r="A121" s="208" t="s">
        <v>40</v>
      </c>
      <c r="B121" s="209"/>
      <c r="C121" s="210"/>
      <c r="D121" s="19">
        <v>310500000000000</v>
      </c>
      <c r="E121" s="105"/>
      <c r="F121" s="105"/>
      <c r="G121" s="105"/>
      <c r="H121" s="106"/>
      <c r="I121" s="107"/>
      <c r="J121" s="108"/>
      <c r="K121" s="108"/>
      <c r="L121" s="108"/>
      <c r="M121" s="108"/>
      <c r="N121" s="108"/>
      <c r="O121" s="103"/>
      <c r="P121" s="108"/>
    </row>
    <row r="122" spans="1:16" x14ac:dyDescent="0.3">
      <c r="A122" s="233" t="s">
        <v>86</v>
      </c>
      <c r="B122" s="234"/>
      <c r="C122" s="235"/>
      <c r="D122" s="87"/>
      <c r="E122" s="82"/>
      <c r="F122" s="82"/>
      <c r="G122" s="82"/>
      <c r="H122" s="83"/>
      <c r="I122" s="93"/>
      <c r="J122" s="87"/>
      <c r="K122" s="87"/>
      <c r="L122" s="87"/>
      <c r="M122" s="87"/>
      <c r="N122" s="87"/>
      <c r="O122" s="103"/>
      <c r="P122" s="87"/>
    </row>
    <row r="123" spans="1:16" s="10" customFormat="1" ht="28.25" customHeight="1" x14ac:dyDescent="0.35">
      <c r="A123" s="227" t="s">
        <v>96</v>
      </c>
      <c r="B123" s="228"/>
      <c r="C123" s="229"/>
      <c r="D123" s="12"/>
      <c r="E123" s="98"/>
      <c r="F123" s="98"/>
      <c r="G123" s="98"/>
      <c r="H123" s="68"/>
      <c r="I123" s="98" t="e">
        <f>AVERAGE(E123:H123)</f>
        <v>#DIV/0!</v>
      </c>
      <c r="J123" s="12" t="s">
        <v>170</v>
      </c>
      <c r="K123" s="12"/>
      <c r="L123" s="12"/>
      <c r="M123" s="12"/>
      <c r="N123" s="12" t="e">
        <f>AVERAGE(J123:M123)</f>
        <v>#DIV/0!</v>
      </c>
      <c r="O123" s="71" t="e">
        <f t="shared" si="12"/>
        <v>#DIV/0!</v>
      </c>
      <c r="P123" s="12"/>
    </row>
    <row r="124" spans="1:16" s="10" customFormat="1" ht="15.5" customHeight="1" x14ac:dyDescent="0.35">
      <c r="A124" s="72"/>
      <c r="B124" s="73"/>
      <c r="C124" s="74" t="s">
        <v>109</v>
      </c>
      <c r="D124" s="12"/>
      <c r="E124" s="98"/>
      <c r="F124" s="98"/>
      <c r="G124" s="98"/>
      <c r="H124" s="68"/>
      <c r="I124" s="98" t="e">
        <f>AVERAGE(E124:H124)</f>
        <v>#DIV/0!</v>
      </c>
      <c r="J124" s="12" t="s">
        <v>170</v>
      </c>
      <c r="K124" s="12"/>
      <c r="L124" s="12"/>
      <c r="M124" s="12"/>
      <c r="N124" s="12" t="e">
        <f>AVERAGE(J124:M124)</f>
        <v>#DIV/0!</v>
      </c>
      <c r="O124" s="71" t="e">
        <f t="shared" si="12"/>
        <v>#DIV/0!</v>
      </c>
      <c r="P124" s="12"/>
    </row>
    <row r="125" spans="1:16" s="10" customFormat="1" ht="15.5" customHeight="1" x14ac:dyDescent="0.35">
      <c r="A125" s="72"/>
      <c r="B125" s="73"/>
      <c r="C125" s="75" t="s">
        <v>110</v>
      </c>
      <c r="D125" s="12"/>
      <c r="E125" s="12"/>
      <c r="F125" s="12"/>
      <c r="G125" s="12"/>
      <c r="H125" s="26"/>
      <c r="I125" s="52" t="e">
        <f>AVERAGE(E125:H125)</f>
        <v>#DIV/0!</v>
      </c>
      <c r="J125" s="12" t="s">
        <v>170</v>
      </c>
      <c r="K125" s="12"/>
      <c r="L125" s="12"/>
      <c r="M125" s="12"/>
      <c r="N125" s="12" t="e">
        <f t="shared" ref="N125:N128" si="19">AVERAGE(J125:M125)</f>
        <v>#DIV/0!</v>
      </c>
      <c r="O125" s="71" t="e">
        <f t="shared" si="12"/>
        <v>#DIV/0!</v>
      </c>
      <c r="P125" s="12"/>
    </row>
    <row r="126" spans="1:16" s="10" customFormat="1" ht="15.5" customHeight="1" x14ac:dyDescent="0.35">
      <c r="A126" s="72"/>
      <c r="B126" s="73"/>
      <c r="C126" s="75" t="s">
        <v>56</v>
      </c>
      <c r="D126" s="12"/>
      <c r="E126" s="12"/>
      <c r="F126" s="12"/>
      <c r="G126" s="12"/>
      <c r="H126" s="26"/>
      <c r="I126" s="52" t="e">
        <f t="shared" ref="I126:I128" si="20">AVERAGE(E126:H126)</f>
        <v>#DIV/0!</v>
      </c>
      <c r="J126" s="12" t="s">
        <v>170</v>
      </c>
      <c r="K126" s="12"/>
      <c r="L126" s="12"/>
      <c r="M126" s="12"/>
      <c r="N126" s="12" t="e">
        <f t="shared" si="19"/>
        <v>#DIV/0!</v>
      </c>
      <c r="O126" s="71" t="e">
        <f t="shared" si="12"/>
        <v>#DIV/0!</v>
      </c>
      <c r="P126" s="12"/>
    </row>
    <row r="127" spans="1:16" s="10" customFormat="1" ht="15.5" customHeight="1" x14ac:dyDescent="0.35">
      <c r="A127" s="72"/>
      <c r="B127" s="73"/>
      <c r="C127" s="75" t="s">
        <v>57</v>
      </c>
      <c r="D127" s="12"/>
      <c r="E127" s="12"/>
      <c r="F127" s="12"/>
      <c r="G127" s="12"/>
      <c r="H127" s="26"/>
      <c r="I127" s="52" t="e">
        <f t="shared" si="20"/>
        <v>#DIV/0!</v>
      </c>
      <c r="J127" s="12" t="s">
        <v>170</v>
      </c>
      <c r="K127" s="12"/>
      <c r="L127" s="12"/>
      <c r="M127" s="12"/>
      <c r="N127" s="12" t="e">
        <f t="shared" si="19"/>
        <v>#DIV/0!</v>
      </c>
      <c r="O127" s="71" t="e">
        <f t="shared" si="12"/>
        <v>#DIV/0!</v>
      </c>
      <c r="P127" s="12"/>
    </row>
    <row r="128" spans="1:16" s="10" customFormat="1" ht="15.5" customHeight="1" x14ac:dyDescent="0.35">
      <c r="A128" s="72"/>
      <c r="B128" s="73"/>
      <c r="C128" s="75" t="s">
        <v>58</v>
      </c>
      <c r="D128" s="12"/>
      <c r="E128" s="12"/>
      <c r="F128" s="12"/>
      <c r="G128" s="12"/>
      <c r="H128" s="26"/>
      <c r="I128" s="52" t="e">
        <f t="shared" si="20"/>
        <v>#DIV/0!</v>
      </c>
      <c r="J128" s="12" t="s">
        <v>170</v>
      </c>
      <c r="K128" s="12"/>
      <c r="L128" s="12"/>
      <c r="M128" s="12"/>
      <c r="N128" s="12" t="e">
        <f t="shared" si="19"/>
        <v>#DIV/0!</v>
      </c>
      <c r="O128" s="71" t="e">
        <f t="shared" si="12"/>
        <v>#DIV/0!</v>
      </c>
      <c r="P128" s="12"/>
    </row>
    <row r="129" spans="1:16" s="10" customFormat="1" ht="15.5" customHeight="1" x14ac:dyDescent="0.35">
      <c r="A129" s="72"/>
      <c r="B129" s="73"/>
      <c r="C129" s="74"/>
      <c r="D129" s="12"/>
      <c r="E129" s="12"/>
      <c r="F129" s="12"/>
      <c r="G129" s="12"/>
      <c r="H129" s="26"/>
      <c r="I129" s="52"/>
      <c r="J129" s="12"/>
      <c r="K129" s="12"/>
      <c r="L129" s="12"/>
      <c r="M129" s="12"/>
      <c r="N129" s="12"/>
      <c r="O129" s="71"/>
      <c r="P129" s="12"/>
    </row>
    <row r="130" spans="1:16" x14ac:dyDescent="0.3">
      <c r="A130" s="224" t="s">
        <v>59</v>
      </c>
      <c r="B130" s="225"/>
      <c r="C130" s="226"/>
      <c r="D130" s="87"/>
      <c r="E130" s="82"/>
      <c r="F130" s="82"/>
      <c r="G130" s="82"/>
      <c r="H130" s="83"/>
      <c r="I130" s="93"/>
      <c r="J130" s="87"/>
      <c r="K130" s="87"/>
      <c r="L130" s="87"/>
      <c r="M130" s="87"/>
      <c r="N130" s="87"/>
      <c r="O130" s="103"/>
      <c r="P130" s="87"/>
    </row>
    <row r="131" spans="1:16" ht="31.25" customHeight="1" x14ac:dyDescent="0.3">
      <c r="A131" s="227" t="s">
        <v>97</v>
      </c>
      <c r="B131" s="228"/>
      <c r="C131" s="229"/>
      <c r="D131" s="16"/>
      <c r="E131" s="12"/>
      <c r="F131" s="12"/>
      <c r="G131" s="12"/>
      <c r="H131" s="26"/>
      <c r="I131" s="12"/>
      <c r="J131" s="16">
        <f>J132+0</f>
        <v>480</v>
      </c>
      <c r="K131" s="16"/>
      <c r="L131" s="16"/>
      <c r="M131" s="16"/>
      <c r="N131" s="12"/>
      <c r="O131" s="12"/>
      <c r="P131" s="16"/>
    </row>
    <row r="132" spans="1:16" ht="14.5" customHeight="1" x14ac:dyDescent="0.3">
      <c r="A132" s="227" t="s">
        <v>113</v>
      </c>
      <c r="B132" s="228"/>
      <c r="C132" s="229"/>
      <c r="D132" s="16"/>
      <c r="E132" s="12"/>
      <c r="F132" s="12"/>
      <c r="G132" s="12"/>
      <c r="H132" s="26"/>
      <c r="I132" s="12">
        <f>SUM(E132:H132)</f>
        <v>0</v>
      </c>
      <c r="J132" s="16">
        <v>480</v>
      </c>
      <c r="K132" s="16"/>
      <c r="L132" s="16"/>
      <c r="M132" s="16"/>
      <c r="N132" s="12">
        <f>SUM(J132:M132)</f>
        <v>480</v>
      </c>
      <c r="O132" s="12">
        <f t="shared" ref="O132:O134" si="21">N132-I132</f>
        <v>480</v>
      </c>
      <c r="P132" s="16"/>
    </row>
    <row r="133" spans="1:16" ht="14.5" customHeight="1" x14ac:dyDescent="0.3">
      <c r="A133" s="227" t="s">
        <v>114</v>
      </c>
      <c r="B133" s="228"/>
      <c r="C133" s="229"/>
      <c r="D133" s="16"/>
      <c r="E133" s="12"/>
      <c r="F133" s="12"/>
      <c r="G133" s="12"/>
      <c r="H133" s="26"/>
      <c r="I133" s="12">
        <f>SUM(E133:H133)</f>
        <v>0</v>
      </c>
      <c r="J133" s="16" t="s">
        <v>170</v>
      </c>
      <c r="K133" s="16"/>
      <c r="L133" s="16"/>
      <c r="M133" s="16"/>
      <c r="N133" s="12">
        <f>SUM(J133:M133)</f>
        <v>0</v>
      </c>
      <c r="O133" s="12">
        <f t="shared" si="21"/>
        <v>0</v>
      </c>
      <c r="P133" s="16"/>
    </row>
    <row r="134" spans="1:16" ht="14.5" customHeight="1" x14ac:dyDescent="0.3">
      <c r="A134" s="227" t="s">
        <v>115</v>
      </c>
      <c r="B134" s="228"/>
      <c r="C134" s="229"/>
      <c r="D134" s="16"/>
      <c r="E134" s="12"/>
      <c r="F134" s="12"/>
      <c r="G134" s="12"/>
      <c r="H134" s="26"/>
      <c r="I134" s="12">
        <f>SUM(E134:H134)</f>
        <v>0</v>
      </c>
      <c r="J134" s="16" t="s">
        <v>170</v>
      </c>
      <c r="K134" s="16"/>
      <c r="L134" s="16"/>
      <c r="M134" s="16"/>
      <c r="N134" s="12">
        <f>SUM(J134:M134)</f>
        <v>0</v>
      </c>
      <c r="O134" s="12">
        <f t="shared" si="21"/>
        <v>0</v>
      </c>
      <c r="P134" s="16"/>
    </row>
    <row r="135" spans="1:16" ht="14.5" customHeight="1" x14ac:dyDescent="0.3">
      <c r="A135" s="240"/>
      <c r="B135" s="241"/>
      <c r="C135" s="242"/>
      <c r="D135" s="110"/>
      <c r="E135" s="111"/>
      <c r="F135" s="111"/>
      <c r="G135" s="111"/>
      <c r="H135" s="112"/>
      <c r="I135" s="111"/>
      <c r="J135" s="110"/>
      <c r="K135" s="110"/>
      <c r="L135" s="110"/>
      <c r="M135" s="110"/>
      <c r="N135" s="111"/>
      <c r="O135" s="111"/>
      <c r="P135" s="110"/>
    </row>
    <row r="136" spans="1:16" x14ac:dyDescent="0.3">
      <c r="A136" s="215"/>
      <c r="B136" s="215"/>
      <c r="C136" s="215"/>
    </row>
    <row r="137" spans="1:16" x14ac:dyDescent="0.3">
      <c r="A137" s="268" t="s">
        <v>34</v>
      </c>
      <c r="B137" s="268"/>
      <c r="C137" s="268"/>
      <c r="H137" s="268" t="s">
        <v>35</v>
      </c>
      <c r="I137" s="268"/>
      <c r="J137" s="268"/>
      <c r="M137" s="268" t="s">
        <v>14</v>
      </c>
      <c r="N137" s="268"/>
      <c r="O137" s="268"/>
    </row>
    <row r="138" spans="1:16" x14ac:dyDescent="0.3">
      <c r="A138" s="215"/>
      <c r="B138" s="215"/>
      <c r="C138" s="215"/>
      <c r="H138" s="215"/>
      <c r="I138" s="215"/>
      <c r="J138" s="215"/>
      <c r="M138" s="215"/>
      <c r="N138" s="215"/>
      <c r="O138" s="215"/>
    </row>
    <row r="139" spans="1:16" x14ac:dyDescent="0.3">
      <c r="A139" s="307"/>
      <c r="B139" s="307"/>
      <c r="C139" s="307"/>
      <c r="H139" s="307"/>
      <c r="I139" s="307"/>
      <c r="J139" s="307"/>
      <c r="M139" s="307"/>
      <c r="N139" s="307"/>
      <c r="O139" s="307"/>
    </row>
    <row r="140" spans="1:16" x14ac:dyDescent="0.3">
      <c r="A140" s="209"/>
      <c r="B140" s="209"/>
      <c r="C140" s="209"/>
      <c r="H140" s="209"/>
      <c r="I140" s="209"/>
      <c r="J140" s="209"/>
      <c r="M140" s="1" t="s">
        <v>33</v>
      </c>
      <c r="N140" s="1"/>
      <c r="O140" s="1"/>
      <c r="P140" s="3"/>
    </row>
    <row r="141" spans="1:16" x14ac:dyDescent="0.3">
      <c r="A141" s="267" t="s">
        <v>13</v>
      </c>
      <c r="B141" s="267"/>
      <c r="C141" s="267"/>
      <c r="H141" s="30" t="s">
        <v>13</v>
      </c>
      <c r="M141" s="267" t="s">
        <v>13</v>
      </c>
      <c r="N141" s="267"/>
      <c r="O141" s="267"/>
      <c r="P141" s="267"/>
    </row>
  </sheetData>
  <mergeCells count="117">
    <mergeCell ref="O1:P1"/>
    <mergeCell ref="O2:P2"/>
    <mergeCell ref="E4:J4"/>
    <mergeCell ref="E5:J5"/>
    <mergeCell ref="C8:D8"/>
    <mergeCell ref="C9:D9"/>
    <mergeCell ref="O13:O14"/>
    <mergeCell ref="P13:P14"/>
    <mergeCell ref="A15:C15"/>
    <mergeCell ref="A16:C16"/>
    <mergeCell ref="A17:C17"/>
    <mergeCell ref="A18:C18"/>
    <mergeCell ref="C10:D10"/>
    <mergeCell ref="C11:D11"/>
    <mergeCell ref="A13:C14"/>
    <mergeCell ref="D13:D14"/>
    <mergeCell ref="E13:I13"/>
    <mergeCell ref="J13:N13"/>
    <mergeCell ref="A28:C28"/>
    <mergeCell ref="A29:C29"/>
    <mergeCell ref="A30:C30"/>
    <mergeCell ref="A31:C31"/>
    <mergeCell ref="A32:C32"/>
    <mergeCell ref="A36:C36"/>
    <mergeCell ref="A19:C19"/>
    <mergeCell ref="A21:C21"/>
    <mergeCell ref="A23:C23"/>
    <mergeCell ref="A24:C24"/>
    <mergeCell ref="A25:C25"/>
    <mergeCell ref="A27:C27"/>
    <mergeCell ref="A50:C50"/>
    <mergeCell ref="A52:C52"/>
    <mergeCell ref="A55:C55"/>
    <mergeCell ref="A56:C56"/>
    <mergeCell ref="A58:C58"/>
    <mergeCell ref="A60:C60"/>
    <mergeCell ref="A38:C38"/>
    <mergeCell ref="A41:C41"/>
    <mergeCell ref="A42:C42"/>
    <mergeCell ref="A44:C44"/>
    <mergeCell ref="A46:C46"/>
    <mergeCell ref="A48:C48"/>
    <mergeCell ref="A69:C69"/>
    <mergeCell ref="A70:C70"/>
    <mergeCell ref="A71:C71"/>
    <mergeCell ref="A72:C72"/>
    <mergeCell ref="A73:C73"/>
    <mergeCell ref="A74:C74"/>
    <mergeCell ref="A62:C62"/>
    <mergeCell ref="A63:C63"/>
    <mergeCell ref="A64:C64"/>
    <mergeCell ref="A65:C65"/>
    <mergeCell ref="A66:C66"/>
    <mergeCell ref="A67:C67"/>
    <mergeCell ref="A83:C83"/>
    <mergeCell ref="A85:C85"/>
    <mergeCell ref="A87:C87"/>
    <mergeCell ref="A88:C88"/>
    <mergeCell ref="A89:C89"/>
    <mergeCell ref="A90:C90"/>
    <mergeCell ref="A75:C75"/>
    <mergeCell ref="A76:C76"/>
    <mergeCell ref="A77:C77"/>
    <mergeCell ref="A78:C78"/>
    <mergeCell ref="A79:C79"/>
    <mergeCell ref="A81:C81"/>
    <mergeCell ref="A97:C97"/>
    <mergeCell ref="A98:C98"/>
    <mergeCell ref="A99:C99"/>
    <mergeCell ref="A100:C100"/>
    <mergeCell ref="A101:C101"/>
    <mergeCell ref="A102:C102"/>
    <mergeCell ref="A91:C91"/>
    <mergeCell ref="A92:C92"/>
    <mergeCell ref="A93:C93"/>
    <mergeCell ref="A94:C94"/>
    <mergeCell ref="A95:C95"/>
    <mergeCell ref="A96:C96"/>
    <mergeCell ref="A109:C109"/>
    <mergeCell ref="A111:C111"/>
    <mergeCell ref="A112:C112"/>
    <mergeCell ref="A113:C113"/>
    <mergeCell ref="A114:C114"/>
    <mergeCell ref="A116:C116"/>
    <mergeCell ref="A103:C103"/>
    <mergeCell ref="A104:C104"/>
    <mergeCell ref="A105:C105"/>
    <mergeCell ref="A106:C106"/>
    <mergeCell ref="A107:C107"/>
    <mergeCell ref="A108:C108"/>
    <mergeCell ref="A123:C123"/>
    <mergeCell ref="A130:C130"/>
    <mergeCell ref="A131:C131"/>
    <mergeCell ref="A132:C132"/>
    <mergeCell ref="A133:C133"/>
    <mergeCell ref="A134:C134"/>
    <mergeCell ref="A117:C117"/>
    <mergeCell ref="A118:C118"/>
    <mergeCell ref="A119:C119"/>
    <mergeCell ref="A120:C120"/>
    <mergeCell ref="A121:C121"/>
    <mergeCell ref="A122:C122"/>
    <mergeCell ref="A139:C139"/>
    <mergeCell ref="H139:J139"/>
    <mergeCell ref="M139:O139"/>
    <mergeCell ref="A140:C140"/>
    <mergeCell ref="H140:J140"/>
    <mergeCell ref="A141:C141"/>
    <mergeCell ref="M141:P141"/>
    <mergeCell ref="A135:C135"/>
    <mergeCell ref="A136:C136"/>
    <mergeCell ref="A137:C137"/>
    <mergeCell ref="H137:J137"/>
    <mergeCell ref="M137:O137"/>
    <mergeCell ref="A138:C138"/>
    <mergeCell ref="H138:J138"/>
    <mergeCell ref="M138:O138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12D0-AE74-4A0A-98F8-20EDBB1A8B2B}">
  <dimension ref="A1:P141"/>
  <sheetViews>
    <sheetView topLeftCell="D54" zoomScale="92" zoomScaleNormal="90" workbookViewId="0">
      <selection activeCell="P65" sqref="P65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127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ht="13.5" thickBot="1" x14ac:dyDescent="0.35">
      <c r="A15" s="272">
        <v>1</v>
      </c>
      <c r="B15" s="272"/>
      <c r="C15" s="272"/>
      <c r="D15" s="6">
        <v>2</v>
      </c>
      <c r="E15" s="6">
        <v>3</v>
      </c>
      <c r="F15" s="6">
        <v>4</v>
      </c>
      <c r="G15" s="6">
        <v>5</v>
      </c>
      <c r="H15" s="7">
        <v>6</v>
      </c>
      <c r="I15" s="6" t="s">
        <v>21</v>
      </c>
      <c r="J15" s="6">
        <v>8</v>
      </c>
      <c r="K15" s="6">
        <v>9</v>
      </c>
      <c r="L15" s="6">
        <v>10</v>
      </c>
      <c r="M15" s="6">
        <v>11</v>
      </c>
      <c r="N15" s="6" t="s">
        <v>22</v>
      </c>
      <c r="O15" s="6">
        <v>13</v>
      </c>
      <c r="P15" s="6">
        <v>14</v>
      </c>
    </row>
    <row r="16" spans="1:16" ht="40.25" customHeight="1" x14ac:dyDescent="0.3">
      <c r="A16" s="285" t="s">
        <v>36</v>
      </c>
      <c r="B16" s="286"/>
      <c r="C16" s="287"/>
      <c r="D16" s="8"/>
      <c r="E16" s="33"/>
      <c r="F16" s="33"/>
      <c r="G16" s="33"/>
      <c r="H16" s="28"/>
      <c r="I16" s="50"/>
      <c r="J16" s="8"/>
      <c r="K16" s="8"/>
      <c r="L16" s="8"/>
      <c r="M16" s="8"/>
      <c r="N16" s="8"/>
      <c r="O16" s="8"/>
      <c r="P16" s="8"/>
    </row>
    <row r="17" spans="1:16" ht="13.25" customHeight="1" x14ac:dyDescent="0.3">
      <c r="A17" s="275" t="s">
        <v>37</v>
      </c>
      <c r="B17" s="276"/>
      <c r="C17" s="277"/>
      <c r="D17" s="20">
        <v>310100000000000</v>
      </c>
      <c r="E17" s="34"/>
      <c r="F17" s="34"/>
      <c r="G17" s="34"/>
      <c r="H17" s="29"/>
      <c r="I17" s="51"/>
      <c r="J17" s="9"/>
      <c r="K17" s="9"/>
      <c r="L17" s="9"/>
      <c r="M17" s="9"/>
      <c r="N17" s="9"/>
      <c r="O17" s="9"/>
      <c r="P17" s="9"/>
    </row>
    <row r="18" spans="1:16" x14ac:dyDescent="0.3">
      <c r="A18" s="314" t="s">
        <v>38</v>
      </c>
      <c r="B18" s="315"/>
      <c r="C18" s="316"/>
      <c r="D18" s="11"/>
      <c r="E18" s="82"/>
      <c r="F18" s="82"/>
      <c r="G18" s="82"/>
      <c r="H18" s="83"/>
      <c r="I18" s="93"/>
      <c r="J18" s="87"/>
      <c r="K18" s="87"/>
      <c r="L18" s="87"/>
      <c r="M18" s="87"/>
      <c r="N18" s="87"/>
      <c r="O18" s="87"/>
      <c r="P18" s="87"/>
    </row>
    <row r="19" spans="1:16" s="25" customFormat="1" ht="30" customHeight="1" x14ac:dyDescent="0.35">
      <c r="A19" s="252" t="s">
        <v>43</v>
      </c>
      <c r="B19" s="253"/>
      <c r="C19" s="254"/>
      <c r="D19" s="24"/>
      <c r="E19" s="76"/>
      <c r="F19" s="76"/>
      <c r="G19" s="76"/>
      <c r="H19" s="77"/>
      <c r="I19" s="78" t="e">
        <f>AVERAGE(E19:H19)</f>
        <v>#DIV/0!</v>
      </c>
      <c r="J19" s="97" t="s">
        <v>170</v>
      </c>
      <c r="K19" s="97"/>
      <c r="L19" s="97"/>
      <c r="M19" s="97"/>
      <c r="N19" s="98" t="e">
        <f>AVERAGE(J19:M19)</f>
        <v>#DIV/0!</v>
      </c>
      <c r="O19" s="71" t="e">
        <f>N19-I19</f>
        <v>#DIV/0!</v>
      </c>
      <c r="P19" s="24"/>
    </row>
    <row r="20" spans="1:16" s="25" customFormat="1" ht="19.75" customHeight="1" x14ac:dyDescent="0.35">
      <c r="A20" s="21"/>
      <c r="B20" s="22"/>
      <c r="C20" s="23"/>
      <c r="D20" s="24"/>
      <c r="E20" s="12"/>
      <c r="F20" s="12"/>
      <c r="G20" s="12"/>
      <c r="H20" s="54"/>
      <c r="I20" s="53"/>
      <c r="J20" s="24"/>
      <c r="K20" s="24"/>
      <c r="L20" s="24"/>
      <c r="M20" s="24"/>
      <c r="N20" s="24"/>
      <c r="O20" s="71"/>
      <c r="P20" s="24"/>
    </row>
    <row r="21" spans="1:16" s="25" customFormat="1" ht="14" customHeight="1" x14ac:dyDescent="0.35">
      <c r="A21" s="252" t="s">
        <v>44</v>
      </c>
      <c r="B21" s="253"/>
      <c r="C21" s="254"/>
      <c r="D21" s="24"/>
      <c r="E21" s="76"/>
      <c r="F21" s="76"/>
      <c r="G21" s="76"/>
      <c r="H21" s="77"/>
      <c r="I21" s="79" t="e">
        <f>AVERAGE(E21:H21)</f>
        <v>#DIV/0!</v>
      </c>
      <c r="J21" s="24" t="s">
        <v>170</v>
      </c>
      <c r="K21" s="24"/>
      <c r="L21" s="24"/>
      <c r="M21" s="24"/>
      <c r="N21" s="12" t="e">
        <f>AVERAGE(J21:M21)</f>
        <v>#DIV/0!</v>
      </c>
      <c r="O21" s="71" t="e">
        <f t="shared" ref="O21:O84" si="0">N21-I21</f>
        <v>#DIV/0!</v>
      </c>
      <c r="P21" s="24"/>
    </row>
    <row r="22" spans="1:16" s="25" customFormat="1" ht="14" customHeight="1" x14ac:dyDescent="0.35">
      <c r="A22" s="21"/>
      <c r="B22" s="22"/>
      <c r="C22" s="23"/>
      <c r="D22" s="24"/>
      <c r="E22" s="12"/>
      <c r="F22" s="12"/>
      <c r="G22" s="12"/>
      <c r="H22" s="31"/>
      <c r="I22" s="52"/>
      <c r="J22" s="24"/>
      <c r="K22" s="24"/>
      <c r="L22" s="24"/>
      <c r="M22" s="24"/>
      <c r="N22" s="24"/>
      <c r="O22" s="71"/>
      <c r="P22" s="24"/>
    </row>
    <row r="23" spans="1:16" x14ac:dyDescent="0.3">
      <c r="A23" s="288" t="s">
        <v>39</v>
      </c>
      <c r="B23" s="289"/>
      <c r="C23" s="290"/>
      <c r="D23" s="11"/>
      <c r="E23" s="82"/>
      <c r="F23" s="82"/>
      <c r="G23" s="82"/>
      <c r="H23" s="83"/>
      <c r="I23" s="93"/>
      <c r="J23" s="87"/>
      <c r="K23" s="87"/>
      <c r="L23" s="87"/>
      <c r="M23" s="87"/>
      <c r="N23" s="87"/>
      <c r="O23" s="103"/>
      <c r="P23" s="87"/>
    </row>
    <row r="24" spans="1:16" x14ac:dyDescent="0.3">
      <c r="A24" s="291" t="s">
        <v>55</v>
      </c>
      <c r="B24" s="292"/>
      <c r="C24" s="293"/>
      <c r="D24" s="11"/>
      <c r="E24" s="76"/>
      <c r="F24" s="76"/>
      <c r="G24" s="76"/>
      <c r="H24" s="80"/>
      <c r="I24" s="81">
        <f>SUM(E24:H24)</f>
        <v>0</v>
      </c>
      <c r="J24" s="16" t="s">
        <v>170</v>
      </c>
      <c r="K24" s="11"/>
      <c r="L24" s="11"/>
      <c r="M24" s="11"/>
      <c r="N24" s="12">
        <f>SUM(J24:M24)</f>
        <v>0</v>
      </c>
      <c r="O24" s="12">
        <f t="shared" si="0"/>
        <v>0</v>
      </c>
      <c r="P24" s="11"/>
    </row>
    <row r="25" spans="1:16" x14ac:dyDescent="0.3">
      <c r="A25" s="291" t="s">
        <v>53</v>
      </c>
      <c r="B25" s="292"/>
      <c r="C25" s="293"/>
      <c r="D25" s="11"/>
      <c r="E25" s="12"/>
      <c r="F25" s="12"/>
      <c r="G25" s="12"/>
      <c r="H25" s="26"/>
      <c r="I25" s="55">
        <f>SUM(E25:H25)</f>
        <v>0</v>
      </c>
      <c r="J25" s="16" t="s">
        <v>170</v>
      </c>
      <c r="K25" s="11"/>
      <c r="L25" s="11"/>
      <c r="M25" s="11"/>
      <c r="N25" s="12">
        <f t="shared" ref="N25:N26" si="1">SUM(J25:M25)</f>
        <v>0</v>
      </c>
      <c r="O25" s="12">
        <f t="shared" si="0"/>
        <v>0</v>
      </c>
      <c r="P25" s="11"/>
    </row>
    <row r="26" spans="1:16" x14ac:dyDescent="0.3">
      <c r="A26" s="17"/>
      <c r="B26" s="18"/>
      <c r="C26" s="35" t="s">
        <v>45</v>
      </c>
      <c r="D26" s="11"/>
      <c r="E26" s="12"/>
      <c r="F26" s="12"/>
      <c r="G26" s="12"/>
      <c r="H26" s="26"/>
      <c r="I26" s="55">
        <f>SUM(E26:H26)</f>
        <v>0</v>
      </c>
      <c r="J26" s="16" t="s">
        <v>170</v>
      </c>
      <c r="K26" s="11"/>
      <c r="L26" s="11"/>
      <c r="M26" s="11"/>
      <c r="N26" s="12">
        <f t="shared" si="1"/>
        <v>0</v>
      </c>
      <c r="O26" s="12">
        <f t="shared" si="0"/>
        <v>0</v>
      </c>
      <c r="P26" s="11"/>
    </row>
    <row r="27" spans="1:16" x14ac:dyDescent="0.3">
      <c r="A27" s="291" t="s">
        <v>54</v>
      </c>
      <c r="B27" s="292"/>
      <c r="C27" s="293"/>
      <c r="D27" s="11"/>
      <c r="E27" s="76"/>
      <c r="F27" s="76"/>
      <c r="G27" s="76"/>
      <c r="H27" s="80"/>
      <c r="I27" s="81">
        <f>SUM(E27:H27)</f>
        <v>0</v>
      </c>
      <c r="J27" s="16" t="s">
        <v>170</v>
      </c>
      <c r="K27" s="11"/>
      <c r="L27" s="11"/>
      <c r="M27" s="11"/>
      <c r="N27" s="12">
        <f>SUM(J27:M27)</f>
        <v>0</v>
      </c>
      <c r="O27" s="12">
        <f t="shared" si="0"/>
        <v>0</v>
      </c>
      <c r="P27" s="11"/>
    </row>
    <row r="28" spans="1:16" x14ac:dyDescent="0.3">
      <c r="A28" s="214"/>
      <c r="B28" s="215"/>
      <c r="C28" s="216"/>
      <c r="D28" s="11"/>
      <c r="E28" s="12"/>
      <c r="F28" s="12"/>
      <c r="G28" s="12"/>
      <c r="H28" s="26"/>
      <c r="I28" s="13"/>
      <c r="J28" s="11"/>
      <c r="K28" s="11"/>
      <c r="L28" s="11"/>
      <c r="M28" s="11"/>
      <c r="N28" s="11"/>
      <c r="O28" s="104"/>
      <c r="P28" s="11"/>
    </row>
    <row r="29" spans="1:16" x14ac:dyDescent="0.3">
      <c r="A29" s="208" t="s">
        <v>47</v>
      </c>
      <c r="B29" s="209"/>
      <c r="C29" s="210"/>
      <c r="D29" s="20">
        <v>310200000000000</v>
      </c>
      <c r="E29" s="34"/>
      <c r="F29" s="34"/>
      <c r="G29" s="34"/>
      <c r="H29" s="29"/>
      <c r="I29" s="51"/>
      <c r="J29" s="9"/>
      <c r="K29" s="9"/>
      <c r="L29" s="9"/>
      <c r="M29" s="9"/>
      <c r="N29" s="9"/>
      <c r="O29" s="71"/>
      <c r="P29" s="9"/>
    </row>
    <row r="30" spans="1:16" x14ac:dyDescent="0.3">
      <c r="A30" s="224" t="s">
        <v>48</v>
      </c>
      <c r="B30" s="225"/>
      <c r="C30" s="226"/>
      <c r="D30" s="11"/>
      <c r="E30" s="82"/>
      <c r="F30" s="82"/>
      <c r="G30" s="82"/>
      <c r="H30" s="83"/>
      <c r="I30" s="93"/>
      <c r="J30" s="87"/>
      <c r="K30" s="87"/>
      <c r="L30" s="87"/>
      <c r="M30" s="87"/>
      <c r="N30" s="87"/>
      <c r="O30" s="103"/>
      <c r="P30" s="87"/>
    </row>
    <row r="31" spans="1:16" s="10" customFormat="1" ht="31.75" customHeight="1" x14ac:dyDescent="0.3">
      <c r="A31" s="252" t="s">
        <v>49</v>
      </c>
      <c r="B31" s="253"/>
      <c r="C31" s="254"/>
      <c r="D31" s="16"/>
      <c r="E31" s="82"/>
      <c r="F31" s="82"/>
      <c r="G31" s="82"/>
      <c r="H31" s="83"/>
      <c r="I31" s="86"/>
      <c r="J31" s="86"/>
      <c r="K31" s="86"/>
      <c r="L31" s="86"/>
      <c r="M31" s="86"/>
      <c r="N31" s="86"/>
      <c r="O31" s="103"/>
      <c r="P31" s="86"/>
    </row>
    <row r="32" spans="1:16" ht="15.5" customHeight="1" x14ac:dyDescent="0.3">
      <c r="A32" s="211" t="s">
        <v>25</v>
      </c>
      <c r="B32" s="212"/>
      <c r="C32" s="213"/>
      <c r="D32" s="11"/>
      <c r="E32" s="82"/>
      <c r="F32" s="36"/>
      <c r="G32" s="82"/>
      <c r="H32" s="83"/>
      <c r="I32" s="92">
        <f>F32</f>
        <v>0</v>
      </c>
      <c r="J32" s="82"/>
      <c r="K32" s="36"/>
      <c r="L32" s="82"/>
      <c r="M32" s="83"/>
      <c r="N32" s="92">
        <f>K32</f>
        <v>0</v>
      </c>
      <c r="O32" s="71">
        <f t="shared" si="0"/>
        <v>0</v>
      </c>
      <c r="P32" s="11"/>
    </row>
    <row r="33" spans="1:16" ht="15.5" customHeight="1" x14ac:dyDescent="0.3">
      <c r="A33" s="14"/>
      <c r="B33" s="3"/>
      <c r="C33" s="15" t="s">
        <v>108</v>
      </c>
      <c r="D33" s="11"/>
      <c r="E33" s="82"/>
      <c r="F33" s="12"/>
      <c r="G33" s="82"/>
      <c r="H33" s="83"/>
      <c r="I33" s="13">
        <f t="shared" ref="I33:I39" si="2">F33</f>
        <v>0</v>
      </c>
      <c r="J33" s="82"/>
      <c r="K33" s="12"/>
      <c r="L33" s="82"/>
      <c r="M33" s="83"/>
      <c r="N33" s="13">
        <f t="shared" ref="N33:N39" si="3">K33</f>
        <v>0</v>
      </c>
      <c r="O33" s="12">
        <f t="shared" si="0"/>
        <v>0</v>
      </c>
      <c r="P33" s="11"/>
    </row>
    <row r="34" spans="1:16" ht="15.5" customHeight="1" x14ac:dyDescent="0.3">
      <c r="A34" s="14"/>
      <c r="B34" s="3"/>
      <c r="C34" s="70" t="s">
        <v>107</v>
      </c>
      <c r="D34" s="11"/>
      <c r="E34" s="82"/>
      <c r="F34" s="36"/>
      <c r="G34" s="82"/>
      <c r="H34" s="83"/>
      <c r="I34" s="92">
        <f t="shared" si="2"/>
        <v>0</v>
      </c>
      <c r="J34" s="82"/>
      <c r="K34" s="36"/>
      <c r="L34" s="82"/>
      <c r="M34" s="83"/>
      <c r="N34" s="92">
        <f t="shared" si="3"/>
        <v>0</v>
      </c>
      <c r="O34" s="71">
        <f t="shared" si="0"/>
        <v>0</v>
      </c>
      <c r="P34" s="11"/>
    </row>
    <row r="35" spans="1:16" ht="15.5" customHeight="1" x14ac:dyDescent="0.3">
      <c r="A35" s="14"/>
      <c r="B35" s="3"/>
      <c r="C35" s="15" t="s">
        <v>108</v>
      </c>
      <c r="D35" s="11"/>
      <c r="E35" s="82"/>
      <c r="F35" s="12"/>
      <c r="G35" s="82"/>
      <c r="H35" s="83"/>
      <c r="I35" s="13">
        <f t="shared" si="2"/>
        <v>0</v>
      </c>
      <c r="J35" s="82"/>
      <c r="K35" s="36"/>
      <c r="L35" s="82"/>
      <c r="M35" s="83"/>
      <c r="N35" s="13">
        <f t="shared" si="3"/>
        <v>0</v>
      </c>
      <c r="O35" s="12">
        <f t="shared" si="0"/>
        <v>0</v>
      </c>
      <c r="P35" s="11"/>
    </row>
    <row r="36" spans="1:16" ht="15.5" customHeight="1" x14ac:dyDescent="0.3">
      <c r="A36" s="211" t="s">
        <v>26</v>
      </c>
      <c r="B36" s="212"/>
      <c r="C36" s="213"/>
      <c r="D36" s="11"/>
      <c r="E36" s="82"/>
      <c r="F36" s="36"/>
      <c r="G36" s="82"/>
      <c r="H36" s="83"/>
      <c r="I36" s="92">
        <f t="shared" si="2"/>
        <v>0</v>
      </c>
      <c r="J36" s="82"/>
      <c r="K36" s="36"/>
      <c r="L36" s="82"/>
      <c r="M36" s="83"/>
      <c r="N36" s="92">
        <f t="shared" si="3"/>
        <v>0</v>
      </c>
      <c r="O36" s="71">
        <f t="shared" si="0"/>
        <v>0</v>
      </c>
      <c r="P36" s="11"/>
    </row>
    <row r="37" spans="1:16" ht="15.5" customHeight="1" x14ac:dyDescent="0.3">
      <c r="A37" s="14"/>
      <c r="B37" s="3"/>
      <c r="C37" s="15" t="s">
        <v>108</v>
      </c>
      <c r="D37" s="11"/>
      <c r="E37" s="82"/>
      <c r="F37" s="12"/>
      <c r="G37" s="82"/>
      <c r="H37" s="83"/>
      <c r="I37" s="13">
        <f t="shared" si="2"/>
        <v>0</v>
      </c>
      <c r="J37" s="82"/>
      <c r="K37" s="12"/>
      <c r="L37" s="82"/>
      <c r="M37" s="83"/>
      <c r="N37" s="13">
        <f t="shared" si="3"/>
        <v>0</v>
      </c>
      <c r="O37" s="12">
        <f t="shared" si="0"/>
        <v>0</v>
      </c>
      <c r="P37" s="11"/>
    </row>
    <row r="38" spans="1:16" ht="15.5" customHeight="1" x14ac:dyDescent="0.3">
      <c r="A38" s="211" t="s">
        <v>27</v>
      </c>
      <c r="B38" s="212"/>
      <c r="C38" s="213"/>
      <c r="D38" s="11"/>
      <c r="E38" s="82"/>
      <c r="F38" s="36"/>
      <c r="G38" s="82"/>
      <c r="H38" s="83"/>
      <c r="I38" s="92">
        <f t="shared" si="2"/>
        <v>0</v>
      </c>
      <c r="J38" s="82"/>
      <c r="K38" s="36"/>
      <c r="L38" s="82"/>
      <c r="M38" s="83"/>
      <c r="N38" s="92">
        <f t="shared" si="3"/>
        <v>0</v>
      </c>
      <c r="O38" s="71">
        <f t="shared" si="0"/>
        <v>0</v>
      </c>
      <c r="P38" s="11"/>
    </row>
    <row r="39" spans="1:16" ht="15.5" customHeight="1" x14ac:dyDescent="0.3">
      <c r="A39" s="14"/>
      <c r="B39" s="3"/>
      <c r="C39" s="15" t="s">
        <v>108</v>
      </c>
      <c r="D39" s="11"/>
      <c r="E39" s="82"/>
      <c r="F39" s="12"/>
      <c r="G39" s="82"/>
      <c r="H39" s="83"/>
      <c r="I39" s="13">
        <f t="shared" si="2"/>
        <v>0</v>
      </c>
      <c r="J39" s="82"/>
      <c r="K39" s="12"/>
      <c r="L39" s="82"/>
      <c r="M39" s="83"/>
      <c r="N39" s="13">
        <f t="shared" si="3"/>
        <v>0</v>
      </c>
      <c r="O39" s="12">
        <f t="shared" si="0"/>
        <v>0</v>
      </c>
      <c r="P39" s="11"/>
    </row>
    <row r="40" spans="1:16" ht="15.5" customHeight="1" x14ac:dyDescent="0.3">
      <c r="A40" s="14"/>
      <c r="B40" s="3"/>
      <c r="C40" s="15"/>
      <c r="D40" s="11"/>
      <c r="E40" s="12"/>
      <c r="F40" s="12"/>
      <c r="G40" s="12"/>
      <c r="H40" s="26"/>
      <c r="I40" s="13"/>
      <c r="J40" s="12"/>
      <c r="K40" s="12"/>
      <c r="L40" s="12"/>
      <c r="M40" s="26"/>
      <c r="N40" s="13"/>
      <c r="O40" s="71"/>
      <c r="P40" s="11"/>
    </row>
    <row r="41" spans="1:16" ht="25.25" customHeight="1" x14ac:dyDescent="0.3">
      <c r="A41" s="243" t="s">
        <v>46</v>
      </c>
      <c r="B41" s="244"/>
      <c r="C41" s="245"/>
      <c r="D41" s="16"/>
      <c r="E41" s="82"/>
      <c r="F41" s="82"/>
      <c r="G41" s="82"/>
      <c r="H41" s="83"/>
      <c r="I41" s="86"/>
      <c r="J41" s="82"/>
      <c r="K41" s="82"/>
      <c r="L41" s="82"/>
      <c r="M41" s="83"/>
      <c r="N41" s="86"/>
      <c r="O41" s="103"/>
      <c r="P41" s="86"/>
    </row>
    <row r="42" spans="1:16" ht="15.5" customHeight="1" x14ac:dyDescent="0.3">
      <c r="A42" s="304" t="s">
        <v>102</v>
      </c>
      <c r="B42" s="305"/>
      <c r="C42" s="306"/>
      <c r="D42" s="11"/>
      <c r="E42" s="82"/>
      <c r="F42" s="36"/>
      <c r="G42" s="82"/>
      <c r="H42" s="83"/>
      <c r="I42" s="92">
        <f>F42</f>
        <v>0</v>
      </c>
      <c r="J42" s="82"/>
      <c r="K42" s="94"/>
      <c r="L42" s="82"/>
      <c r="M42" s="83"/>
      <c r="N42" s="96">
        <f>K42</f>
        <v>0</v>
      </c>
      <c r="O42" s="71">
        <f t="shared" si="0"/>
        <v>0</v>
      </c>
      <c r="P42" s="11"/>
    </row>
    <row r="43" spans="1:16" ht="15.5" customHeight="1" x14ac:dyDescent="0.3">
      <c r="A43" s="46"/>
      <c r="B43" s="47"/>
      <c r="C43" s="15" t="s">
        <v>108</v>
      </c>
      <c r="D43" s="11"/>
      <c r="E43" s="82"/>
      <c r="F43" s="12"/>
      <c r="G43" s="82"/>
      <c r="H43" s="83"/>
      <c r="I43" s="13">
        <f t="shared" ref="I43:I53" si="4">F43</f>
        <v>0</v>
      </c>
      <c r="J43" s="82"/>
      <c r="K43" s="95"/>
      <c r="L43" s="82"/>
      <c r="M43" s="83"/>
      <c r="N43" s="13">
        <f t="shared" ref="N43:N53" si="5">K43</f>
        <v>0</v>
      </c>
      <c r="O43" s="12">
        <f t="shared" si="0"/>
        <v>0</v>
      </c>
      <c r="P43" s="11"/>
    </row>
    <row r="44" spans="1:16" ht="15.5" customHeight="1" x14ac:dyDescent="0.3">
      <c r="A44" s="304" t="s">
        <v>103</v>
      </c>
      <c r="B44" s="305"/>
      <c r="C44" s="306"/>
      <c r="D44" s="11"/>
      <c r="E44" s="82"/>
      <c r="F44" s="36"/>
      <c r="G44" s="82"/>
      <c r="H44" s="83"/>
      <c r="I44" s="92">
        <f t="shared" si="4"/>
        <v>0</v>
      </c>
      <c r="J44" s="82"/>
      <c r="K44" s="94"/>
      <c r="L44" s="82"/>
      <c r="M44" s="83"/>
      <c r="N44" s="96">
        <f t="shared" si="5"/>
        <v>0</v>
      </c>
      <c r="O44" s="71">
        <f t="shared" si="0"/>
        <v>0</v>
      </c>
      <c r="P44" s="11"/>
    </row>
    <row r="45" spans="1:16" ht="15.5" customHeight="1" x14ac:dyDescent="0.3">
      <c r="A45" s="46"/>
      <c r="B45" s="47"/>
      <c r="C45" s="15" t="s">
        <v>108</v>
      </c>
      <c r="D45" s="11"/>
      <c r="E45" s="82"/>
      <c r="F45" s="12"/>
      <c r="G45" s="82"/>
      <c r="H45" s="83"/>
      <c r="I45" s="13">
        <f t="shared" si="4"/>
        <v>0</v>
      </c>
      <c r="J45" s="82"/>
      <c r="K45" s="95"/>
      <c r="L45" s="82"/>
      <c r="M45" s="83"/>
      <c r="N45" s="13">
        <f t="shared" si="5"/>
        <v>0</v>
      </c>
      <c r="O45" s="12">
        <f t="shared" si="0"/>
        <v>0</v>
      </c>
      <c r="P45" s="11"/>
    </row>
    <row r="46" spans="1:16" ht="15.5" customHeight="1" x14ac:dyDescent="0.3">
      <c r="A46" s="304" t="s">
        <v>104</v>
      </c>
      <c r="B46" s="305"/>
      <c r="C46" s="306"/>
      <c r="D46" s="11"/>
      <c r="E46" s="82"/>
      <c r="F46" s="94"/>
      <c r="G46" s="82"/>
      <c r="H46" s="83"/>
      <c r="I46" s="92">
        <f t="shared" si="4"/>
        <v>0</v>
      </c>
      <c r="J46" s="82"/>
      <c r="K46" s="94"/>
      <c r="L46" s="82"/>
      <c r="M46" s="83"/>
      <c r="N46" s="96">
        <f t="shared" si="5"/>
        <v>0</v>
      </c>
      <c r="O46" s="71">
        <f t="shared" si="0"/>
        <v>0</v>
      </c>
      <c r="P46" s="11"/>
    </row>
    <row r="47" spans="1:16" ht="15.5" customHeight="1" x14ac:dyDescent="0.3">
      <c r="A47" s="46"/>
      <c r="B47" s="47"/>
      <c r="C47" s="15" t="s">
        <v>108</v>
      </c>
      <c r="D47" s="11"/>
      <c r="E47" s="82"/>
      <c r="F47" s="12"/>
      <c r="G47" s="82"/>
      <c r="H47" s="83"/>
      <c r="I47" s="13">
        <f t="shared" si="4"/>
        <v>0</v>
      </c>
      <c r="J47" s="82"/>
      <c r="K47" s="95"/>
      <c r="L47" s="82"/>
      <c r="M47" s="83"/>
      <c r="N47" s="13">
        <f t="shared" si="5"/>
        <v>0</v>
      </c>
      <c r="O47" s="12">
        <f t="shared" si="0"/>
        <v>0</v>
      </c>
      <c r="P47" s="11"/>
    </row>
    <row r="48" spans="1:16" ht="15.5" customHeight="1" x14ac:dyDescent="0.3">
      <c r="A48" s="304" t="s">
        <v>105</v>
      </c>
      <c r="B48" s="305"/>
      <c r="C48" s="306"/>
      <c r="D48" s="11"/>
      <c r="E48" s="82"/>
      <c r="F48" s="36"/>
      <c r="G48" s="82"/>
      <c r="H48" s="83"/>
      <c r="I48" s="92">
        <f t="shared" si="4"/>
        <v>0</v>
      </c>
      <c r="J48" s="82"/>
      <c r="K48" s="94"/>
      <c r="L48" s="82"/>
      <c r="M48" s="83"/>
      <c r="N48" s="96">
        <f t="shared" si="5"/>
        <v>0</v>
      </c>
      <c r="O48" s="71">
        <f t="shared" si="0"/>
        <v>0</v>
      </c>
      <c r="P48" s="11"/>
    </row>
    <row r="49" spans="1:16" ht="15.5" customHeight="1" x14ac:dyDescent="0.3">
      <c r="A49" s="46"/>
      <c r="B49" s="47"/>
      <c r="C49" s="15" t="s">
        <v>108</v>
      </c>
      <c r="D49" s="11"/>
      <c r="E49" s="82"/>
      <c r="F49" s="12"/>
      <c r="G49" s="82"/>
      <c r="H49" s="83"/>
      <c r="I49" s="13">
        <f t="shared" si="4"/>
        <v>0</v>
      </c>
      <c r="J49" s="82"/>
      <c r="K49" s="95"/>
      <c r="L49" s="82"/>
      <c r="M49" s="83"/>
      <c r="N49" s="13">
        <f t="shared" si="5"/>
        <v>0</v>
      </c>
      <c r="O49" s="12">
        <f t="shared" si="0"/>
        <v>0</v>
      </c>
      <c r="P49" s="11"/>
    </row>
    <row r="50" spans="1:16" ht="15.5" customHeight="1" x14ac:dyDescent="0.3">
      <c r="A50" s="304" t="s">
        <v>106</v>
      </c>
      <c r="B50" s="305"/>
      <c r="C50" s="306"/>
      <c r="D50" s="11"/>
      <c r="E50" s="82"/>
      <c r="F50" s="36"/>
      <c r="G50" s="82"/>
      <c r="H50" s="83"/>
      <c r="I50" s="92">
        <f t="shared" si="4"/>
        <v>0</v>
      </c>
      <c r="J50" s="82"/>
      <c r="K50" s="94"/>
      <c r="L50" s="82"/>
      <c r="M50" s="83"/>
      <c r="N50" s="96">
        <f t="shared" si="5"/>
        <v>0</v>
      </c>
      <c r="O50" s="71">
        <f t="shared" si="0"/>
        <v>0</v>
      </c>
      <c r="P50" s="11"/>
    </row>
    <row r="51" spans="1:16" ht="15.5" customHeight="1" x14ac:dyDescent="0.3">
      <c r="A51" s="46"/>
      <c r="B51" s="47"/>
      <c r="C51" s="15" t="s">
        <v>108</v>
      </c>
      <c r="D51" s="11"/>
      <c r="E51" s="82"/>
      <c r="F51" s="12"/>
      <c r="G51" s="82"/>
      <c r="H51" s="83"/>
      <c r="I51" s="13">
        <f t="shared" si="4"/>
        <v>0</v>
      </c>
      <c r="J51" s="82"/>
      <c r="K51" s="95"/>
      <c r="L51" s="82"/>
      <c r="M51" s="83"/>
      <c r="N51" s="13">
        <f t="shared" si="5"/>
        <v>0</v>
      </c>
      <c r="O51" s="12">
        <f t="shared" si="0"/>
        <v>0</v>
      </c>
      <c r="P51" s="11"/>
    </row>
    <row r="52" spans="1:16" ht="15.5" customHeight="1" x14ac:dyDescent="0.3">
      <c r="A52" s="304" t="s">
        <v>111</v>
      </c>
      <c r="B52" s="305"/>
      <c r="C52" s="306"/>
      <c r="D52" s="11"/>
      <c r="E52" s="82"/>
      <c r="F52" s="94"/>
      <c r="G52" s="82"/>
      <c r="H52" s="83"/>
      <c r="I52" s="92">
        <f t="shared" si="4"/>
        <v>0</v>
      </c>
      <c r="J52" s="82"/>
      <c r="K52" s="94"/>
      <c r="L52" s="82"/>
      <c r="M52" s="83"/>
      <c r="N52" s="96">
        <f t="shared" si="5"/>
        <v>0</v>
      </c>
      <c r="O52" s="71">
        <f t="shared" si="0"/>
        <v>0</v>
      </c>
      <c r="P52" s="11"/>
    </row>
    <row r="53" spans="1:16" ht="15.5" customHeight="1" x14ac:dyDescent="0.3">
      <c r="A53" s="37"/>
      <c r="B53" s="38"/>
      <c r="C53" s="15" t="s">
        <v>108</v>
      </c>
      <c r="D53" s="11"/>
      <c r="E53" s="82"/>
      <c r="F53" s="12"/>
      <c r="G53" s="82"/>
      <c r="H53" s="83"/>
      <c r="I53" s="13">
        <f t="shared" si="4"/>
        <v>0</v>
      </c>
      <c r="J53" s="82"/>
      <c r="K53" s="95"/>
      <c r="L53" s="82"/>
      <c r="M53" s="83"/>
      <c r="N53" s="13">
        <f t="shared" si="5"/>
        <v>0</v>
      </c>
      <c r="O53" s="12">
        <f t="shared" si="0"/>
        <v>0</v>
      </c>
      <c r="P53" s="11"/>
    </row>
    <row r="54" spans="1:16" ht="15.5" customHeight="1" x14ac:dyDescent="0.3">
      <c r="A54" s="37"/>
      <c r="B54" s="38"/>
      <c r="C54" s="39"/>
      <c r="D54" s="11"/>
      <c r="E54" s="12"/>
      <c r="F54" s="12"/>
      <c r="G54" s="12"/>
      <c r="H54" s="26"/>
      <c r="I54" s="13"/>
      <c r="J54" s="12"/>
      <c r="K54" s="12"/>
      <c r="L54" s="12"/>
      <c r="M54" s="26"/>
      <c r="N54" s="13"/>
      <c r="O54" s="71"/>
      <c r="P54" s="11"/>
    </row>
    <row r="55" spans="1:16" ht="25.75" customHeight="1" x14ac:dyDescent="0.3">
      <c r="A55" s="243" t="s">
        <v>52</v>
      </c>
      <c r="B55" s="244"/>
      <c r="C55" s="245"/>
      <c r="D55" s="16"/>
      <c r="E55" s="82"/>
      <c r="F55" s="82"/>
      <c r="G55" s="82"/>
      <c r="H55" s="83"/>
      <c r="I55" s="86"/>
      <c r="J55" s="82"/>
      <c r="K55" s="82"/>
      <c r="L55" s="82"/>
      <c r="M55" s="83"/>
      <c r="N55" s="86"/>
      <c r="O55" s="103"/>
      <c r="P55" s="86"/>
    </row>
    <row r="56" spans="1:16" ht="15.5" customHeight="1" x14ac:dyDescent="0.3">
      <c r="A56" s="246" t="s">
        <v>56</v>
      </c>
      <c r="B56" s="247"/>
      <c r="C56" s="248"/>
      <c r="D56" s="11"/>
      <c r="E56" s="82"/>
      <c r="F56" s="82"/>
      <c r="G56" s="82"/>
      <c r="H56" s="31"/>
      <c r="I56" s="92">
        <f>H56</f>
        <v>0</v>
      </c>
      <c r="J56" s="82"/>
      <c r="K56" s="82"/>
      <c r="L56" s="82"/>
      <c r="M56" s="31"/>
      <c r="N56" s="92">
        <f>M56</f>
        <v>0</v>
      </c>
      <c r="O56" s="71">
        <f t="shared" si="0"/>
        <v>0</v>
      </c>
      <c r="P56" s="11"/>
    </row>
    <row r="57" spans="1:16" ht="15.5" customHeight="1" x14ac:dyDescent="0.3">
      <c r="A57" s="40"/>
      <c r="B57" s="41"/>
      <c r="C57" s="15" t="s">
        <v>108</v>
      </c>
      <c r="D57" s="11"/>
      <c r="E57" s="82"/>
      <c r="F57" s="82"/>
      <c r="G57" s="82"/>
      <c r="H57" s="26"/>
      <c r="I57" s="13">
        <f t="shared" ref="I57:I61" si="6">H57</f>
        <v>0</v>
      </c>
      <c r="J57" s="82"/>
      <c r="K57" s="82"/>
      <c r="L57" s="82"/>
      <c r="M57" s="26"/>
      <c r="N57" s="13">
        <f t="shared" ref="N57:N61" si="7">M57</f>
        <v>0</v>
      </c>
      <c r="O57" s="12">
        <f t="shared" si="0"/>
        <v>0</v>
      </c>
      <c r="P57" s="11"/>
    </row>
    <row r="58" spans="1:16" ht="15.5" customHeight="1" x14ac:dyDescent="0.3">
      <c r="A58" s="246" t="s">
        <v>57</v>
      </c>
      <c r="B58" s="247"/>
      <c r="C58" s="248"/>
      <c r="D58" s="11"/>
      <c r="E58" s="82"/>
      <c r="F58" s="82"/>
      <c r="G58" s="82"/>
      <c r="H58" s="31"/>
      <c r="I58" s="92">
        <f t="shared" si="6"/>
        <v>0</v>
      </c>
      <c r="J58" s="82"/>
      <c r="K58" s="82"/>
      <c r="L58" s="82"/>
      <c r="M58" s="31"/>
      <c r="N58" s="92">
        <f t="shared" si="7"/>
        <v>0</v>
      </c>
      <c r="O58" s="71">
        <f t="shared" si="0"/>
        <v>0</v>
      </c>
      <c r="P58" s="11"/>
    </row>
    <row r="59" spans="1:16" ht="15.5" customHeight="1" x14ac:dyDescent="0.3">
      <c r="A59" s="40"/>
      <c r="B59" s="41"/>
      <c r="C59" s="15" t="s">
        <v>108</v>
      </c>
      <c r="D59" s="11"/>
      <c r="E59" s="82"/>
      <c r="F59" s="82"/>
      <c r="G59" s="82"/>
      <c r="H59" s="26"/>
      <c r="I59" s="13">
        <f t="shared" si="6"/>
        <v>0</v>
      </c>
      <c r="J59" s="82"/>
      <c r="K59" s="82"/>
      <c r="L59" s="82"/>
      <c r="M59" s="26"/>
      <c r="N59" s="13">
        <f t="shared" si="7"/>
        <v>0</v>
      </c>
      <c r="O59" s="12">
        <f t="shared" si="0"/>
        <v>0</v>
      </c>
      <c r="P59" s="11"/>
    </row>
    <row r="60" spans="1:16" ht="15.5" customHeight="1" x14ac:dyDescent="0.3">
      <c r="A60" s="246" t="s">
        <v>58</v>
      </c>
      <c r="B60" s="247"/>
      <c r="C60" s="248"/>
      <c r="D60" s="11"/>
      <c r="E60" s="82"/>
      <c r="F60" s="82"/>
      <c r="G60" s="82"/>
      <c r="H60" s="31"/>
      <c r="I60" s="92">
        <f t="shared" si="6"/>
        <v>0</v>
      </c>
      <c r="J60" s="82"/>
      <c r="K60" s="82"/>
      <c r="L60" s="82"/>
      <c r="M60" s="31"/>
      <c r="N60" s="92">
        <f t="shared" si="7"/>
        <v>0</v>
      </c>
      <c r="O60" s="71">
        <f t="shared" si="0"/>
        <v>0</v>
      </c>
      <c r="P60" s="11"/>
    </row>
    <row r="61" spans="1:16" ht="15.5" customHeight="1" x14ac:dyDescent="0.3">
      <c r="A61" s="40"/>
      <c r="B61" s="41"/>
      <c r="C61" s="15" t="s">
        <v>108</v>
      </c>
      <c r="D61" s="11"/>
      <c r="E61" s="82"/>
      <c r="F61" s="82"/>
      <c r="G61" s="82"/>
      <c r="H61" s="26"/>
      <c r="I61" s="13">
        <f t="shared" si="6"/>
        <v>0</v>
      </c>
      <c r="J61" s="82"/>
      <c r="K61" s="82"/>
      <c r="L61" s="82"/>
      <c r="M61" s="26"/>
      <c r="N61" s="13">
        <f t="shared" si="7"/>
        <v>0</v>
      </c>
      <c r="O61" s="12">
        <f t="shared" si="0"/>
        <v>0</v>
      </c>
      <c r="P61" s="11"/>
    </row>
    <row r="62" spans="1:16" ht="15.5" customHeight="1" x14ac:dyDescent="0.3">
      <c r="A62" s="214"/>
      <c r="B62" s="215"/>
      <c r="C62" s="216"/>
      <c r="D62" s="11"/>
      <c r="E62" s="12"/>
      <c r="F62" s="12"/>
      <c r="G62" s="12"/>
      <c r="H62" s="26"/>
      <c r="I62" s="13"/>
      <c r="J62" s="12"/>
      <c r="K62" s="12"/>
      <c r="L62" s="12"/>
      <c r="M62" s="26"/>
      <c r="N62" s="13"/>
      <c r="O62" s="71"/>
      <c r="P62" s="11"/>
    </row>
    <row r="63" spans="1:16" x14ac:dyDescent="0.3">
      <c r="A63" s="224" t="s">
        <v>59</v>
      </c>
      <c r="B63" s="225"/>
      <c r="C63" s="226"/>
      <c r="D63" s="11"/>
      <c r="E63" s="82"/>
      <c r="F63" s="82"/>
      <c r="G63" s="82"/>
      <c r="H63" s="83"/>
      <c r="I63" s="93"/>
      <c r="J63" s="82"/>
      <c r="K63" s="82"/>
      <c r="L63" s="82"/>
      <c r="M63" s="83"/>
      <c r="N63" s="93"/>
      <c r="O63" s="103"/>
      <c r="P63" s="87"/>
    </row>
    <row r="64" spans="1:16" x14ac:dyDescent="0.3">
      <c r="A64" s="295" t="s">
        <v>67</v>
      </c>
      <c r="B64" s="296"/>
      <c r="C64" s="297"/>
      <c r="D64" s="11"/>
      <c r="E64" s="82"/>
      <c r="F64" s="82"/>
      <c r="G64" s="82"/>
      <c r="H64" s="83"/>
      <c r="I64" s="93"/>
      <c r="J64" s="82"/>
      <c r="K64" s="82"/>
      <c r="L64" s="82"/>
      <c r="M64" s="83"/>
      <c r="N64" s="93"/>
      <c r="O64" s="103"/>
      <c r="P64" s="87"/>
    </row>
    <row r="65" spans="1:16" ht="15.5" customHeight="1" x14ac:dyDescent="0.3">
      <c r="A65" s="308" t="s">
        <v>68</v>
      </c>
      <c r="B65" s="309"/>
      <c r="C65" s="310"/>
      <c r="D65" s="11"/>
      <c r="E65" s="82"/>
      <c r="F65" s="82"/>
      <c r="G65" s="12"/>
      <c r="H65" s="26"/>
      <c r="I65" s="13">
        <f>SUM(G65:H65)</f>
        <v>0</v>
      </c>
      <c r="J65" s="12">
        <v>30</v>
      </c>
      <c r="K65" s="12"/>
      <c r="L65" s="12"/>
      <c r="M65" s="26"/>
      <c r="N65" s="13">
        <f>SUM(L65:M65)</f>
        <v>0</v>
      </c>
      <c r="O65" s="12">
        <f t="shared" si="0"/>
        <v>0</v>
      </c>
      <c r="P65" s="89" t="s">
        <v>207</v>
      </c>
    </row>
    <row r="66" spans="1:16" ht="15.5" customHeight="1" x14ac:dyDescent="0.3">
      <c r="A66" s="308" t="s">
        <v>69</v>
      </c>
      <c r="B66" s="309"/>
      <c r="C66" s="310"/>
      <c r="D66" s="11"/>
      <c r="E66" s="85"/>
      <c r="F66" s="85"/>
      <c r="G66" s="56"/>
      <c r="H66" s="60"/>
      <c r="I66" s="13">
        <f>SUM(G66:H66)</f>
        <v>0</v>
      </c>
      <c r="J66" s="56"/>
      <c r="K66" s="56"/>
      <c r="L66" s="56"/>
      <c r="M66" s="60"/>
      <c r="N66" s="13">
        <f>SUM(L66:M66)</f>
        <v>0</v>
      </c>
      <c r="O66" s="12">
        <f t="shared" si="0"/>
        <v>0</v>
      </c>
      <c r="P66" s="11" t="s">
        <v>208</v>
      </c>
    </row>
    <row r="67" spans="1:16" ht="27.65" customHeight="1" x14ac:dyDescent="0.3">
      <c r="A67" s="311" t="s">
        <v>66</v>
      </c>
      <c r="B67" s="312"/>
      <c r="C67" s="313"/>
      <c r="D67" s="16"/>
      <c r="E67" s="12"/>
      <c r="F67" s="61"/>
      <c r="G67" s="61"/>
      <c r="H67" s="63"/>
      <c r="I67" s="61">
        <f>SUM(E67:H67)</f>
        <v>0</v>
      </c>
      <c r="J67" s="12" t="s">
        <v>170</v>
      </c>
      <c r="K67" s="61"/>
      <c r="L67" s="61"/>
      <c r="M67" s="63"/>
      <c r="N67" s="61">
        <f>SUM(J67:M67)</f>
        <v>0</v>
      </c>
      <c r="O67" s="12">
        <f t="shared" si="0"/>
        <v>0</v>
      </c>
      <c r="P67" s="16"/>
    </row>
    <row r="68" spans="1:16" ht="15.5" customHeight="1" x14ac:dyDescent="0.3">
      <c r="A68" s="43"/>
      <c r="B68" s="44"/>
      <c r="C68" s="45"/>
      <c r="D68" s="16"/>
      <c r="E68" s="12"/>
      <c r="F68" s="12"/>
      <c r="G68" s="12"/>
      <c r="H68" s="26"/>
      <c r="I68" s="13"/>
      <c r="J68" s="12"/>
      <c r="K68" s="12"/>
      <c r="L68" s="12"/>
      <c r="M68" s="26"/>
      <c r="N68" s="13"/>
      <c r="O68" s="71"/>
      <c r="P68" s="16"/>
    </row>
    <row r="69" spans="1:16" x14ac:dyDescent="0.3">
      <c r="A69" s="295" t="s">
        <v>70</v>
      </c>
      <c r="B69" s="296"/>
      <c r="C69" s="297"/>
      <c r="D69" s="11"/>
      <c r="E69" s="82"/>
      <c r="F69" s="82"/>
      <c r="G69" s="82"/>
      <c r="H69" s="83"/>
      <c r="I69" s="93"/>
      <c r="J69" s="82"/>
      <c r="K69" s="82"/>
      <c r="L69" s="82"/>
      <c r="M69" s="83"/>
      <c r="N69" s="93"/>
      <c r="O69" s="103"/>
      <c r="P69" s="87"/>
    </row>
    <row r="70" spans="1:16" ht="15.5" customHeight="1" x14ac:dyDescent="0.3">
      <c r="A70" s="308" t="s">
        <v>74</v>
      </c>
      <c r="B70" s="309"/>
      <c r="C70" s="310"/>
      <c r="D70" s="11"/>
      <c r="E70" s="61"/>
      <c r="F70" s="61"/>
      <c r="G70" s="61"/>
      <c r="H70" s="61"/>
      <c r="I70" s="62">
        <f>SUM(E70:H70)</f>
        <v>0</v>
      </c>
      <c r="J70" s="61" t="s">
        <v>170</v>
      </c>
      <c r="K70" s="61"/>
      <c r="L70" s="61"/>
      <c r="M70" s="61"/>
      <c r="N70" s="62">
        <f>SUM(J70:M70)</f>
        <v>0</v>
      </c>
      <c r="O70" s="12">
        <f t="shared" si="0"/>
        <v>0</v>
      </c>
      <c r="P70" s="11"/>
    </row>
    <row r="71" spans="1:16" ht="15.5" customHeight="1" x14ac:dyDescent="0.3">
      <c r="A71" s="308" t="s">
        <v>71</v>
      </c>
      <c r="B71" s="309"/>
      <c r="C71" s="310"/>
      <c r="D71" s="11"/>
      <c r="E71" s="61"/>
      <c r="F71" s="61"/>
      <c r="G71" s="61"/>
      <c r="H71" s="63"/>
      <c r="I71" s="62">
        <f t="shared" ref="I71:I72" si="8">SUM(E71:H71)</f>
        <v>0</v>
      </c>
      <c r="J71" s="61" t="s">
        <v>170</v>
      </c>
      <c r="K71" s="61"/>
      <c r="L71" s="61"/>
      <c r="M71" s="63"/>
      <c r="N71" s="62">
        <f t="shared" ref="N71:N72" si="9">SUM(J71:M71)</f>
        <v>0</v>
      </c>
      <c r="O71" s="12">
        <f t="shared" si="0"/>
        <v>0</v>
      </c>
      <c r="P71" s="11"/>
    </row>
    <row r="72" spans="1:16" ht="15.5" customHeight="1" x14ac:dyDescent="0.3">
      <c r="A72" s="308" t="s">
        <v>72</v>
      </c>
      <c r="B72" s="309"/>
      <c r="C72" s="310"/>
      <c r="D72" s="11"/>
      <c r="E72" s="12"/>
      <c r="F72" s="12"/>
      <c r="G72" s="12"/>
      <c r="H72" s="26"/>
      <c r="I72" s="62">
        <f t="shared" si="8"/>
        <v>0</v>
      </c>
      <c r="J72" s="12" t="s">
        <v>170</v>
      </c>
      <c r="K72" s="12"/>
      <c r="L72" s="12"/>
      <c r="M72" s="26"/>
      <c r="N72" s="62">
        <f t="shared" si="9"/>
        <v>0</v>
      </c>
      <c r="O72" s="12">
        <f t="shared" si="0"/>
        <v>0</v>
      </c>
      <c r="P72" s="11"/>
    </row>
    <row r="73" spans="1:16" ht="15.5" customHeight="1" x14ac:dyDescent="0.3">
      <c r="A73" s="214"/>
      <c r="B73" s="215"/>
      <c r="C73" s="216"/>
      <c r="D73" s="11"/>
      <c r="E73" s="12"/>
      <c r="F73" s="12"/>
      <c r="G73" s="12"/>
      <c r="H73" s="26"/>
      <c r="I73" s="62"/>
      <c r="J73" s="12"/>
      <c r="K73" s="12"/>
      <c r="L73" s="12"/>
      <c r="M73" s="26"/>
      <c r="N73" s="62"/>
      <c r="O73" s="12"/>
      <c r="P73" s="11"/>
    </row>
    <row r="74" spans="1:16" x14ac:dyDescent="0.3">
      <c r="A74" s="295" t="s">
        <v>73</v>
      </c>
      <c r="B74" s="296"/>
      <c r="C74" s="297"/>
      <c r="D74" s="11"/>
      <c r="E74" s="12"/>
      <c r="F74" s="12"/>
      <c r="G74" s="12"/>
      <c r="H74" s="26"/>
      <c r="I74" s="62">
        <f>SUM(E74:H74)</f>
        <v>0</v>
      </c>
      <c r="J74" s="12" t="s">
        <v>170</v>
      </c>
      <c r="K74" s="12"/>
      <c r="L74" s="12"/>
      <c r="M74" s="26"/>
      <c r="N74" s="62">
        <f>SUM(J74:M74)</f>
        <v>0</v>
      </c>
      <c r="O74" s="12">
        <f t="shared" si="0"/>
        <v>0</v>
      </c>
      <c r="P74" s="11"/>
    </row>
    <row r="75" spans="1:16" ht="15.5" customHeight="1" x14ac:dyDescent="0.3">
      <c r="A75" s="214"/>
      <c r="B75" s="215"/>
      <c r="C75" s="216"/>
      <c r="D75" s="11"/>
      <c r="E75" s="12"/>
      <c r="F75" s="12"/>
      <c r="G75" s="12"/>
      <c r="H75" s="26"/>
      <c r="I75" s="13"/>
      <c r="J75" s="12"/>
      <c r="K75" s="12"/>
      <c r="L75" s="12"/>
      <c r="M75" s="26"/>
      <c r="N75" s="13"/>
      <c r="O75" s="104"/>
      <c r="P75" s="11"/>
    </row>
    <row r="76" spans="1:16" x14ac:dyDescent="0.3">
      <c r="A76" s="208" t="s">
        <v>42</v>
      </c>
      <c r="B76" s="209"/>
      <c r="C76" s="210"/>
      <c r="D76" s="19">
        <v>310300000000000</v>
      </c>
      <c r="E76" s="34"/>
      <c r="F76" s="34"/>
      <c r="G76" s="34"/>
      <c r="H76" s="29"/>
      <c r="I76" s="51"/>
      <c r="J76" s="34"/>
      <c r="K76" s="34"/>
      <c r="L76" s="34"/>
      <c r="M76" s="29"/>
      <c r="N76" s="51"/>
      <c r="O76" s="71"/>
      <c r="P76" s="9"/>
    </row>
    <row r="77" spans="1:16" x14ac:dyDescent="0.3">
      <c r="A77" s="211" t="s">
        <v>23</v>
      </c>
      <c r="B77" s="212"/>
      <c r="C77" s="213"/>
      <c r="D77" s="11"/>
      <c r="E77" s="82"/>
      <c r="F77" s="82"/>
      <c r="G77" s="82"/>
      <c r="H77" s="83"/>
      <c r="I77" s="93"/>
      <c r="J77" s="82"/>
      <c r="K77" s="82"/>
      <c r="L77" s="82"/>
      <c r="M77" s="83"/>
      <c r="N77" s="93"/>
      <c r="O77" s="103"/>
      <c r="P77" s="87"/>
    </row>
    <row r="78" spans="1:16" ht="12.65" customHeight="1" x14ac:dyDescent="0.3">
      <c r="A78" s="243" t="s">
        <v>77</v>
      </c>
      <c r="B78" s="244"/>
      <c r="C78" s="245"/>
      <c r="D78" s="16"/>
      <c r="E78" s="82"/>
      <c r="F78" s="82"/>
      <c r="G78" s="82"/>
      <c r="H78" s="83"/>
      <c r="I78" s="86"/>
      <c r="J78" s="82"/>
      <c r="K78" s="82"/>
      <c r="L78" s="82"/>
      <c r="M78" s="83"/>
      <c r="N78" s="86"/>
      <c r="O78" s="103"/>
      <c r="P78" s="86"/>
    </row>
    <row r="79" spans="1:16" ht="15" customHeight="1" x14ac:dyDescent="0.3">
      <c r="A79" s="246" t="s">
        <v>78</v>
      </c>
      <c r="B79" s="247"/>
      <c r="C79" s="248"/>
      <c r="D79" s="11"/>
      <c r="E79" s="82"/>
      <c r="F79" s="82"/>
      <c r="G79" s="82"/>
      <c r="H79" s="65"/>
      <c r="I79" s="66">
        <f>H79</f>
        <v>0</v>
      </c>
      <c r="J79" s="82"/>
      <c r="K79" s="82"/>
      <c r="L79" s="82"/>
      <c r="M79" s="65"/>
      <c r="N79" s="66">
        <f>M79</f>
        <v>0</v>
      </c>
      <c r="O79" s="71">
        <f t="shared" si="0"/>
        <v>0</v>
      </c>
      <c r="P79" s="11"/>
    </row>
    <row r="80" spans="1:16" ht="15" customHeight="1" x14ac:dyDescent="0.3">
      <c r="A80" s="40"/>
      <c r="B80" s="41"/>
      <c r="C80" s="15" t="s">
        <v>108</v>
      </c>
      <c r="D80" s="11"/>
      <c r="E80" s="82"/>
      <c r="F80" s="82"/>
      <c r="G80" s="82"/>
      <c r="H80" s="63"/>
      <c r="I80" s="99">
        <f t="shared" ref="I80:I86" si="10">H80</f>
        <v>0</v>
      </c>
      <c r="J80" s="82"/>
      <c r="K80" s="82"/>
      <c r="L80" s="82"/>
      <c r="M80" s="63"/>
      <c r="N80" s="99">
        <f t="shared" ref="N80:N86" si="11">M80</f>
        <v>0</v>
      </c>
      <c r="O80" s="12">
        <f t="shared" si="0"/>
        <v>0</v>
      </c>
      <c r="P80" s="11"/>
    </row>
    <row r="81" spans="1:16" ht="30" customHeight="1" x14ac:dyDescent="0.3">
      <c r="A81" s="258" t="s">
        <v>76</v>
      </c>
      <c r="B81" s="259"/>
      <c r="C81" s="260"/>
      <c r="D81" s="11"/>
      <c r="E81" s="82"/>
      <c r="F81" s="82"/>
      <c r="G81" s="82"/>
      <c r="H81" s="65"/>
      <c r="I81" s="66">
        <f t="shared" si="10"/>
        <v>0</v>
      </c>
      <c r="J81" s="82"/>
      <c r="K81" s="82"/>
      <c r="L81" s="82"/>
      <c r="M81" s="65"/>
      <c r="N81" s="66">
        <f t="shared" si="11"/>
        <v>0</v>
      </c>
      <c r="O81" s="71">
        <f t="shared" si="0"/>
        <v>0</v>
      </c>
      <c r="P81" s="11"/>
    </row>
    <row r="82" spans="1:16" ht="15.5" customHeight="1" x14ac:dyDescent="0.3">
      <c r="A82" s="40"/>
      <c r="B82" s="41"/>
      <c r="C82" s="15" t="s">
        <v>108</v>
      </c>
      <c r="D82" s="11"/>
      <c r="E82" s="82"/>
      <c r="F82" s="82"/>
      <c r="G82" s="82"/>
      <c r="H82" s="63"/>
      <c r="I82" s="99">
        <f t="shared" si="10"/>
        <v>0</v>
      </c>
      <c r="J82" s="82"/>
      <c r="K82" s="82"/>
      <c r="L82" s="82"/>
      <c r="M82" s="63"/>
      <c r="N82" s="99">
        <f t="shared" si="11"/>
        <v>0</v>
      </c>
      <c r="O82" s="12">
        <f t="shared" si="0"/>
        <v>0</v>
      </c>
      <c r="P82" s="11"/>
    </row>
    <row r="83" spans="1:16" ht="15.5" customHeight="1" x14ac:dyDescent="0.3">
      <c r="A83" s="246" t="s">
        <v>79</v>
      </c>
      <c r="B83" s="247"/>
      <c r="C83" s="248"/>
      <c r="D83" s="11"/>
      <c r="E83" s="82"/>
      <c r="F83" s="82"/>
      <c r="G83" s="82"/>
      <c r="H83" s="65"/>
      <c r="I83" s="66">
        <f t="shared" si="10"/>
        <v>0</v>
      </c>
      <c r="J83" s="82"/>
      <c r="K83" s="82"/>
      <c r="L83" s="82"/>
      <c r="M83" s="65"/>
      <c r="N83" s="66">
        <f t="shared" si="11"/>
        <v>0</v>
      </c>
      <c r="O83" s="71">
        <f t="shared" si="0"/>
        <v>0</v>
      </c>
      <c r="P83" s="11"/>
    </row>
    <row r="84" spans="1:16" ht="15.5" customHeight="1" x14ac:dyDescent="0.3">
      <c r="A84" s="40"/>
      <c r="B84" s="41"/>
      <c r="C84" s="15" t="s">
        <v>108</v>
      </c>
      <c r="D84" s="11"/>
      <c r="E84" s="82"/>
      <c r="F84" s="82"/>
      <c r="G84" s="82"/>
      <c r="H84" s="63"/>
      <c r="I84" s="99">
        <f t="shared" si="10"/>
        <v>0</v>
      </c>
      <c r="J84" s="82"/>
      <c r="K84" s="82"/>
      <c r="L84" s="82"/>
      <c r="M84" s="63"/>
      <c r="N84" s="99">
        <f t="shared" si="11"/>
        <v>0</v>
      </c>
      <c r="O84" s="12">
        <f t="shared" si="0"/>
        <v>0</v>
      </c>
      <c r="P84" s="11"/>
    </row>
    <row r="85" spans="1:16" ht="15.5" customHeight="1" x14ac:dyDescent="0.3">
      <c r="A85" s="246" t="s">
        <v>81</v>
      </c>
      <c r="B85" s="247"/>
      <c r="C85" s="248"/>
      <c r="D85" s="11"/>
      <c r="E85" s="82"/>
      <c r="F85" s="82"/>
      <c r="G85" s="82"/>
      <c r="H85" s="65"/>
      <c r="I85" s="66">
        <f t="shared" si="10"/>
        <v>0</v>
      </c>
      <c r="J85" s="82"/>
      <c r="K85" s="82"/>
      <c r="L85" s="82"/>
      <c r="M85" s="65"/>
      <c r="N85" s="66">
        <f t="shared" si="11"/>
        <v>0</v>
      </c>
      <c r="O85" s="71">
        <f t="shared" ref="O85:O128" si="12">N85-I85</f>
        <v>0</v>
      </c>
      <c r="P85" s="11"/>
    </row>
    <row r="86" spans="1:16" ht="15.5" customHeight="1" x14ac:dyDescent="0.3">
      <c r="A86" s="37"/>
      <c r="B86" s="38"/>
      <c r="C86" s="15" t="s">
        <v>108</v>
      </c>
      <c r="D86" s="11"/>
      <c r="E86" s="82"/>
      <c r="F86" s="82"/>
      <c r="G86" s="82"/>
      <c r="H86" s="63"/>
      <c r="I86" s="99">
        <f t="shared" si="10"/>
        <v>0</v>
      </c>
      <c r="J86" s="82"/>
      <c r="K86" s="82"/>
      <c r="L86" s="82"/>
      <c r="M86" s="63"/>
      <c r="N86" s="99">
        <f t="shared" si="11"/>
        <v>0</v>
      </c>
      <c r="O86" s="12">
        <f t="shared" si="12"/>
        <v>0</v>
      </c>
      <c r="P86" s="11"/>
    </row>
    <row r="87" spans="1:16" ht="15.5" customHeight="1" x14ac:dyDescent="0.3">
      <c r="A87" s="214"/>
      <c r="B87" s="215"/>
      <c r="C87" s="216"/>
      <c r="D87" s="11"/>
      <c r="E87" s="12"/>
      <c r="F87" s="12"/>
      <c r="G87" s="12"/>
      <c r="H87" s="63"/>
      <c r="I87" s="13"/>
      <c r="J87" s="12"/>
      <c r="K87" s="12"/>
      <c r="L87" s="12"/>
      <c r="M87" s="63"/>
      <c r="N87" s="13"/>
      <c r="O87" s="71"/>
      <c r="P87" s="11"/>
    </row>
    <row r="88" spans="1:16" ht="13" customHeight="1" x14ac:dyDescent="0.3">
      <c r="A88" s="261" t="s">
        <v>80</v>
      </c>
      <c r="B88" s="262"/>
      <c r="C88" s="263"/>
      <c r="D88" s="16"/>
      <c r="E88" s="82"/>
      <c r="F88" s="82"/>
      <c r="G88" s="82"/>
      <c r="H88" s="64"/>
      <c r="I88" s="66">
        <f>H88</f>
        <v>0</v>
      </c>
      <c r="J88" s="82"/>
      <c r="K88" s="82"/>
      <c r="L88" s="82"/>
      <c r="M88" s="64"/>
      <c r="N88" s="66">
        <f>M88</f>
        <v>0</v>
      </c>
      <c r="O88" s="71">
        <f t="shared" si="12"/>
        <v>0</v>
      </c>
      <c r="P88" s="16"/>
    </row>
    <row r="89" spans="1:16" ht="15.5" customHeight="1" x14ac:dyDescent="0.3">
      <c r="A89" s="214"/>
      <c r="B89" s="215"/>
      <c r="C89" s="216"/>
      <c r="D89" s="11"/>
      <c r="E89" s="12"/>
      <c r="F89" s="12"/>
      <c r="G89" s="12"/>
      <c r="H89" s="26"/>
      <c r="I89" s="13"/>
      <c r="J89" s="12"/>
      <c r="K89" s="12"/>
      <c r="L89" s="12"/>
      <c r="M89" s="26"/>
      <c r="N89" s="13"/>
      <c r="O89" s="71"/>
      <c r="P89" s="11"/>
    </row>
    <row r="90" spans="1:16" x14ac:dyDescent="0.3">
      <c r="A90" s="264" t="s">
        <v>59</v>
      </c>
      <c r="B90" s="265"/>
      <c r="C90" s="266"/>
      <c r="D90" s="11"/>
      <c r="E90" s="82"/>
      <c r="F90" s="82"/>
      <c r="G90" s="82"/>
      <c r="H90" s="83"/>
      <c r="I90" s="93"/>
      <c r="J90" s="82"/>
      <c r="K90" s="82"/>
      <c r="L90" s="82"/>
      <c r="M90" s="83"/>
      <c r="N90" s="93"/>
      <c r="O90" s="103"/>
      <c r="P90" s="87"/>
    </row>
    <row r="91" spans="1:16" x14ac:dyDescent="0.3">
      <c r="A91" s="264" t="s">
        <v>82</v>
      </c>
      <c r="B91" s="265"/>
      <c r="C91" s="266"/>
      <c r="D91" s="11"/>
      <c r="E91" s="82"/>
      <c r="F91" s="82"/>
      <c r="G91" s="82"/>
      <c r="H91" s="83"/>
      <c r="I91" s="93"/>
      <c r="J91" s="82"/>
      <c r="K91" s="82"/>
      <c r="L91" s="82"/>
      <c r="M91" s="83"/>
      <c r="N91" s="93"/>
      <c r="O91" s="103"/>
      <c r="P91" s="87"/>
    </row>
    <row r="92" spans="1:16" ht="15.5" customHeight="1" x14ac:dyDescent="0.3">
      <c r="A92" s="246" t="s">
        <v>83</v>
      </c>
      <c r="B92" s="247"/>
      <c r="C92" s="248"/>
      <c r="D92" s="11"/>
      <c r="E92" s="82"/>
      <c r="F92" s="82"/>
      <c r="G92" s="26"/>
      <c r="H92" s="83"/>
      <c r="I92" s="13">
        <f>G92</f>
        <v>0</v>
      </c>
      <c r="J92" s="82"/>
      <c r="K92" s="82"/>
      <c r="L92" s="26"/>
      <c r="M92" s="83"/>
      <c r="N92" s="13">
        <f>L92</f>
        <v>0</v>
      </c>
      <c r="O92" s="12">
        <f t="shared" si="12"/>
        <v>0</v>
      </c>
      <c r="P92" s="11"/>
    </row>
    <row r="93" spans="1:16" ht="15.5" customHeight="1" x14ac:dyDescent="0.3">
      <c r="A93" s="246" t="s">
        <v>84</v>
      </c>
      <c r="B93" s="247"/>
      <c r="C93" s="248"/>
      <c r="D93" s="11"/>
      <c r="E93" s="82"/>
      <c r="F93" s="82"/>
      <c r="G93" s="26"/>
      <c r="H93" s="83"/>
      <c r="I93" s="13">
        <f t="shared" ref="I93:I96" si="13">G93</f>
        <v>0</v>
      </c>
      <c r="J93" s="82"/>
      <c r="K93" s="82"/>
      <c r="L93" s="26"/>
      <c r="M93" s="83"/>
      <c r="N93" s="13">
        <f t="shared" ref="N93:N96" si="14">L93</f>
        <v>0</v>
      </c>
      <c r="O93" s="12">
        <f t="shared" si="12"/>
        <v>0</v>
      </c>
      <c r="P93" s="11"/>
    </row>
    <row r="94" spans="1:16" ht="15.5" customHeight="1" x14ac:dyDescent="0.3">
      <c r="A94" s="246" t="s">
        <v>85</v>
      </c>
      <c r="B94" s="247"/>
      <c r="C94" s="248"/>
      <c r="D94" s="11"/>
      <c r="E94" s="82"/>
      <c r="F94" s="82"/>
      <c r="G94" s="26"/>
      <c r="H94" s="83"/>
      <c r="I94" s="13">
        <f t="shared" si="13"/>
        <v>0</v>
      </c>
      <c r="J94" s="82"/>
      <c r="K94" s="82"/>
      <c r="L94" s="26"/>
      <c r="M94" s="83"/>
      <c r="N94" s="13">
        <f t="shared" si="14"/>
        <v>0</v>
      </c>
      <c r="O94" s="12">
        <f t="shared" si="12"/>
        <v>0</v>
      </c>
      <c r="P94" s="11"/>
    </row>
    <row r="95" spans="1:16" ht="34.75" customHeight="1" x14ac:dyDescent="0.3">
      <c r="A95" s="252" t="s">
        <v>112</v>
      </c>
      <c r="B95" s="253"/>
      <c r="C95" s="254"/>
      <c r="D95" s="11"/>
      <c r="E95" s="82"/>
      <c r="F95" s="82"/>
      <c r="G95" s="26"/>
      <c r="H95" s="83"/>
      <c r="I95" s="13">
        <f t="shared" si="13"/>
        <v>0</v>
      </c>
      <c r="J95" s="82"/>
      <c r="K95" s="82"/>
      <c r="L95" s="26"/>
      <c r="M95" s="83"/>
      <c r="N95" s="13">
        <f t="shared" si="14"/>
        <v>0</v>
      </c>
      <c r="O95" s="12">
        <f t="shared" si="12"/>
        <v>0</v>
      </c>
      <c r="P95" s="11"/>
    </row>
    <row r="96" spans="1:16" x14ac:dyDescent="0.3">
      <c r="A96" s="252" t="s">
        <v>65</v>
      </c>
      <c r="B96" s="253"/>
      <c r="C96" s="254"/>
      <c r="D96" s="11"/>
      <c r="E96" s="82"/>
      <c r="F96" s="82"/>
      <c r="G96" s="68"/>
      <c r="H96" s="84"/>
      <c r="I96" s="13">
        <f t="shared" si="13"/>
        <v>0</v>
      </c>
      <c r="J96" s="82"/>
      <c r="K96" s="82"/>
      <c r="L96" s="68"/>
      <c r="M96" s="84"/>
      <c r="N96" s="13">
        <f t="shared" si="14"/>
        <v>0</v>
      </c>
      <c r="O96" s="12">
        <f t="shared" si="12"/>
        <v>0</v>
      </c>
      <c r="P96" s="11"/>
    </row>
    <row r="97" spans="1:16" x14ac:dyDescent="0.3">
      <c r="A97" s="211"/>
      <c r="B97" s="212"/>
      <c r="C97" s="213"/>
      <c r="D97" s="11"/>
      <c r="E97" s="12"/>
      <c r="F97" s="12"/>
      <c r="G97" s="12"/>
      <c r="H97" s="26"/>
      <c r="I97" s="16"/>
      <c r="J97" s="12"/>
      <c r="K97" s="12"/>
      <c r="L97" s="12"/>
      <c r="M97" s="26"/>
      <c r="N97" s="16"/>
      <c r="O97" s="104"/>
      <c r="P97" s="11"/>
    </row>
    <row r="98" spans="1:16" x14ac:dyDescent="0.3">
      <c r="A98" s="208" t="s">
        <v>41</v>
      </c>
      <c r="B98" s="209"/>
      <c r="C98" s="210"/>
      <c r="D98" s="19">
        <v>310400000000000</v>
      </c>
      <c r="E98" s="34"/>
      <c r="F98" s="34"/>
      <c r="G98" s="34"/>
      <c r="H98" s="29"/>
      <c r="I98" s="51"/>
      <c r="J98" s="9"/>
      <c r="K98" s="9"/>
      <c r="L98" s="9"/>
      <c r="M98" s="9"/>
      <c r="N98" s="9"/>
      <c r="O98" s="71"/>
      <c r="P98" s="9"/>
    </row>
    <row r="99" spans="1:16" x14ac:dyDescent="0.3">
      <c r="A99" s="211" t="s">
        <v>86</v>
      </c>
      <c r="B99" s="212"/>
      <c r="C99" s="213"/>
      <c r="D99" s="11"/>
      <c r="E99" s="82"/>
      <c r="F99" s="82"/>
      <c r="G99" s="82"/>
      <c r="H99" s="83"/>
      <c r="I99" s="93"/>
      <c r="J99" s="87"/>
      <c r="K99" s="87"/>
      <c r="L99" s="87"/>
      <c r="M99" s="87"/>
      <c r="N99" s="87"/>
      <c r="O99" s="103"/>
      <c r="P99" s="87"/>
    </row>
    <row r="100" spans="1:16" ht="13" customHeight="1" x14ac:dyDescent="0.3">
      <c r="A100" s="243" t="s">
        <v>87</v>
      </c>
      <c r="B100" s="244"/>
      <c r="C100" s="245"/>
      <c r="D100" s="16"/>
      <c r="E100" s="82"/>
      <c r="F100" s="82"/>
      <c r="G100" s="82"/>
      <c r="H100" s="83"/>
      <c r="I100" s="86"/>
      <c r="J100" s="86"/>
      <c r="K100" s="86"/>
      <c r="L100" s="86"/>
      <c r="M100" s="86"/>
      <c r="N100" s="86"/>
      <c r="O100" s="103"/>
      <c r="P100" s="86"/>
    </row>
    <row r="101" spans="1:16" ht="15.5" customHeight="1" x14ac:dyDescent="0.3">
      <c r="A101" s="246" t="s">
        <v>56</v>
      </c>
      <c r="B101" s="247"/>
      <c r="C101" s="248"/>
      <c r="D101" s="11"/>
      <c r="E101" s="82"/>
      <c r="F101" s="82"/>
      <c r="G101" s="82"/>
      <c r="H101" s="68"/>
      <c r="I101" s="96">
        <f>H101</f>
        <v>0</v>
      </c>
      <c r="J101" s="82"/>
      <c r="K101" s="82"/>
      <c r="L101" s="82"/>
      <c r="M101" s="101"/>
      <c r="N101" s="102">
        <f>M101</f>
        <v>0</v>
      </c>
      <c r="O101" s="71">
        <f t="shared" si="12"/>
        <v>0</v>
      </c>
      <c r="P101" s="11"/>
    </row>
    <row r="102" spans="1:16" ht="15.5" customHeight="1" x14ac:dyDescent="0.3">
      <c r="A102" s="246" t="s">
        <v>88</v>
      </c>
      <c r="B102" s="247"/>
      <c r="C102" s="248"/>
      <c r="D102" s="11"/>
      <c r="E102" s="82"/>
      <c r="F102" s="82"/>
      <c r="G102" s="82"/>
      <c r="H102" s="31"/>
      <c r="I102" s="96">
        <f>H102</f>
        <v>0</v>
      </c>
      <c r="J102" s="82"/>
      <c r="K102" s="82"/>
      <c r="L102" s="82"/>
      <c r="M102" s="101"/>
      <c r="N102" s="102">
        <f>M102</f>
        <v>0</v>
      </c>
      <c r="O102" s="71">
        <f t="shared" si="12"/>
        <v>0</v>
      </c>
      <c r="P102" s="11"/>
    </row>
    <row r="103" spans="1:16" ht="13" customHeight="1" x14ac:dyDescent="0.3">
      <c r="A103" s="243" t="s">
        <v>89</v>
      </c>
      <c r="B103" s="244"/>
      <c r="C103" s="245"/>
      <c r="D103" s="16"/>
      <c r="E103" s="82"/>
      <c r="F103" s="82"/>
      <c r="G103" s="82"/>
      <c r="H103" s="100"/>
      <c r="I103" s="86"/>
      <c r="J103" s="82"/>
      <c r="K103" s="82"/>
      <c r="L103" s="82"/>
      <c r="M103" s="86"/>
      <c r="N103" s="86"/>
      <c r="O103" s="103"/>
      <c r="P103" s="86"/>
    </row>
    <row r="104" spans="1:16" ht="15.5" customHeight="1" x14ac:dyDescent="0.3">
      <c r="A104" s="246" t="s">
        <v>56</v>
      </c>
      <c r="B104" s="247"/>
      <c r="C104" s="248"/>
      <c r="D104" s="11"/>
      <c r="E104" s="82"/>
      <c r="F104" s="82"/>
      <c r="G104" s="82"/>
      <c r="H104" s="31"/>
      <c r="I104" s="96">
        <f>H104</f>
        <v>0</v>
      </c>
      <c r="J104" s="82"/>
      <c r="K104" s="82"/>
      <c r="L104" s="82"/>
      <c r="M104" s="101"/>
      <c r="N104" s="71">
        <f>M104</f>
        <v>0</v>
      </c>
      <c r="O104" s="71">
        <f t="shared" si="12"/>
        <v>0</v>
      </c>
      <c r="P104" s="11"/>
    </row>
    <row r="105" spans="1:16" ht="15.5" customHeight="1" x14ac:dyDescent="0.3">
      <c r="A105" s="246" t="s">
        <v>88</v>
      </c>
      <c r="B105" s="247"/>
      <c r="C105" s="248"/>
      <c r="D105" s="11"/>
      <c r="E105" s="82"/>
      <c r="F105" s="82"/>
      <c r="G105" s="82"/>
      <c r="H105" s="31"/>
      <c r="I105" s="96">
        <f>H105</f>
        <v>0</v>
      </c>
      <c r="J105" s="82"/>
      <c r="K105" s="82"/>
      <c r="L105" s="82"/>
      <c r="M105" s="101"/>
      <c r="N105" s="71">
        <f>M105</f>
        <v>0</v>
      </c>
      <c r="O105" s="71">
        <f t="shared" si="12"/>
        <v>0</v>
      </c>
      <c r="P105" s="11"/>
    </row>
    <row r="106" spans="1:16" ht="27.65" customHeight="1" thickBot="1" x14ac:dyDescent="0.35">
      <c r="A106" s="243" t="s">
        <v>90</v>
      </c>
      <c r="B106" s="244"/>
      <c r="C106" s="245"/>
      <c r="D106" s="16"/>
      <c r="E106" s="82"/>
      <c r="F106" s="82"/>
      <c r="G106" s="82"/>
      <c r="H106" s="83"/>
      <c r="I106" s="86"/>
      <c r="J106" s="86"/>
      <c r="K106" s="86"/>
      <c r="L106" s="86"/>
      <c r="M106" s="86"/>
      <c r="N106" s="86"/>
      <c r="O106" s="103"/>
      <c r="P106" s="86"/>
    </row>
    <row r="107" spans="1:16" ht="15.5" customHeight="1" thickBot="1" x14ac:dyDescent="0.35">
      <c r="A107" s="246" t="s">
        <v>91</v>
      </c>
      <c r="B107" s="247"/>
      <c r="C107" s="248"/>
      <c r="D107" s="11"/>
      <c r="E107" s="109">
        <v>1</v>
      </c>
      <c r="F107" s="82"/>
      <c r="G107" s="82"/>
      <c r="H107" s="83"/>
      <c r="I107" s="96">
        <f>E107</f>
        <v>1</v>
      </c>
      <c r="J107" s="161">
        <v>0.19209999999999999</v>
      </c>
      <c r="K107" s="82"/>
      <c r="L107" s="82"/>
      <c r="M107" s="83"/>
      <c r="N107" s="71">
        <f>J107</f>
        <v>0.19209999999999999</v>
      </c>
      <c r="O107" s="71">
        <f t="shared" si="12"/>
        <v>-0.80790000000000006</v>
      </c>
      <c r="P107" s="11"/>
    </row>
    <row r="108" spans="1:16" ht="15.5" customHeight="1" thickBot="1" x14ac:dyDescent="0.35">
      <c r="A108" s="246" t="s">
        <v>92</v>
      </c>
      <c r="B108" s="247"/>
      <c r="C108" s="248"/>
      <c r="D108" s="11"/>
      <c r="E108" s="109">
        <v>1</v>
      </c>
      <c r="F108" s="82"/>
      <c r="G108" s="82"/>
      <c r="H108" s="83"/>
      <c r="I108" s="96">
        <f t="shared" ref="I108:I109" si="15">E108</f>
        <v>1</v>
      </c>
      <c r="J108" s="162">
        <v>0.2462</v>
      </c>
      <c r="K108" s="82"/>
      <c r="L108" s="82"/>
      <c r="M108" s="83"/>
      <c r="N108" s="71">
        <f t="shared" ref="N108:N109" si="16">J108</f>
        <v>0.2462</v>
      </c>
      <c r="O108" s="71">
        <f t="shared" si="12"/>
        <v>-0.75380000000000003</v>
      </c>
      <c r="P108" s="11"/>
    </row>
    <row r="109" spans="1:16" ht="15.5" customHeight="1" thickBot="1" x14ac:dyDescent="0.35">
      <c r="A109" s="246" t="s">
        <v>93</v>
      </c>
      <c r="B109" s="247"/>
      <c r="C109" s="248"/>
      <c r="D109" s="11"/>
      <c r="E109" s="109">
        <v>1</v>
      </c>
      <c r="F109" s="82"/>
      <c r="G109" s="82"/>
      <c r="H109" s="83"/>
      <c r="I109" s="96">
        <f t="shared" si="15"/>
        <v>1</v>
      </c>
      <c r="J109" s="162">
        <v>0.43070000000000003</v>
      </c>
      <c r="K109" s="82"/>
      <c r="L109" s="82"/>
      <c r="M109" s="83"/>
      <c r="N109" s="71">
        <f t="shared" si="16"/>
        <v>0.43070000000000003</v>
      </c>
      <c r="O109" s="71">
        <f t="shared" si="12"/>
        <v>-0.56929999999999992</v>
      </c>
      <c r="P109" s="11"/>
    </row>
    <row r="110" spans="1:16" ht="15.5" customHeight="1" x14ac:dyDescent="0.3">
      <c r="A110" s="14"/>
      <c r="B110" s="3"/>
      <c r="C110" s="15"/>
      <c r="D110" s="11"/>
      <c r="E110" s="12"/>
      <c r="F110" s="12"/>
      <c r="G110" s="12"/>
      <c r="H110" s="26"/>
      <c r="I110" s="13"/>
      <c r="J110" s="11"/>
      <c r="K110" s="11"/>
      <c r="L110" s="11"/>
      <c r="M110" s="11"/>
      <c r="N110" s="11"/>
      <c r="O110" s="71"/>
      <c r="P110" s="11"/>
    </row>
    <row r="111" spans="1:16" x14ac:dyDescent="0.3">
      <c r="A111" s="211" t="s">
        <v>24</v>
      </c>
      <c r="B111" s="212"/>
      <c r="C111" s="213"/>
      <c r="D111" s="11"/>
      <c r="E111" s="82"/>
      <c r="F111" s="82"/>
      <c r="G111" s="82"/>
      <c r="H111" s="83"/>
      <c r="I111" s="93"/>
      <c r="J111" s="87"/>
      <c r="K111" s="87"/>
      <c r="L111" s="87"/>
      <c r="M111" s="87"/>
      <c r="N111" s="87"/>
      <c r="O111" s="103"/>
      <c r="P111" s="87"/>
    </row>
    <row r="112" spans="1:16" s="22" customFormat="1" ht="22.25" customHeight="1" x14ac:dyDescent="0.3">
      <c r="A112" s="252" t="s">
        <v>94</v>
      </c>
      <c r="B112" s="253"/>
      <c r="C112" s="254"/>
      <c r="D112" s="16"/>
      <c r="E112" s="82"/>
      <c r="F112" s="82"/>
      <c r="G112" s="82"/>
      <c r="H112" s="83"/>
      <c r="I112" s="86"/>
      <c r="J112" s="86"/>
      <c r="K112" s="86"/>
      <c r="L112" s="86"/>
      <c r="M112" s="86"/>
      <c r="N112" s="86"/>
      <c r="O112" s="103"/>
      <c r="P112" s="86"/>
    </row>
    <row r="113" spans="1:16" ht="15.5" customHeight="1" x14ac:dyDescent="0.3">
      <c r="A113" s="211" t="s">
        <v>28</v>
      </c>
      <c r="B113" s="212"/>
      <c r="C113" s="213"/>
      <c r="D113" s="11"/>
      <c r="E113" s="82"/>
      <c r="F113" s="82"/>
      <c r="G113" s="82"/>
      <c r="H113" s="63"/>
      <c r="I113" s="13">
        <f>H113</f>
        <v>0</v>
      </c>
      <c r="J113" s="82"/>
      <c r="K113" s="82"/>
      <c r="L113" s="82"/>
      <c r="M113" s="11"/>
      <c r="N113" s="12">
        <f>M113</f>
        <v>0</v>
      </c>
      <c r="O113" s="12">
        <f t="shared" si="12"/>
        <v>0</v>
      </c>
      <c r="P113" s="11"/>
    </row>
    <row r="114" spans="1:16" ht="15.5" customHeight="1" x14ac:dyDescent="0.3">
      <c r="A114" s="211" t="s">
        <v>29</v>
      </c>
      <c r="B114" s="212"/>
      <c r="C114" s="213"/>
      <c r="D114" s="11"/>
      <c r="E114" s="82"/>
      <c r="F114" s="82"/>
      <c r="G114" s="82"/>
      <c r="H114" s="63"/>
      <c r="I114" s="13">
        <f>H114</f>
        <v>0</v>
      </c>
      <c r="J114" s="82"/>
      <c r="K114" s="82"/>
      <c r="L114" s="82"/>
      <c r="M114" s="11"/>
      <c r="N114" s="12">
        <f>M114</f>
        <v>0</v>
      </c>
      <c r="O114" s="12">
        <f t="shared" si="12"/>
        <v>0</v>
      </c>
      <c r="P114" s="11"/>
    </row>
    <row r="115" spans="1:16" ht="15.5" customHeight="1" x14ac:dyDescent="0.3">
      <c r="A115" s="14"/>
      <c r="B115" s="3"/>
      <c r="C115" s="15"/>
      <c r="D115" s="11"/>
      <c r="E115" s="12"/>
      <c r="F115" s="12"/>
      <c r="G115" s="12"/>
      <c r="H115" s="26"/>
      <c r="I115" s="13"/>
      <c r="J115" s="11"/>
      <c r="K115" s="11"/>
      <c r="L115" s="11"/>
      <c r="M115" s="11"/>
      <c r="N115" s="11"/>
      <c r="O115" s="71"/>
      <c r="P115" s="11"/>
    </row>
    <row r="116" spans="1:16" ht="13" customHeight="1" x14ac:dyDescent="0.3">
      <c r="A116" s="243" t="s">
        <v>95</v>
      </c>
      <c r="B116" s="244"/>
      <c r="C116" s="245"/>
      <c r="D116" s="11"/>
      <c r="E116" s="82"/>
      <c r="F116" s="82"/>
      <c r="G116" s="82"/>
      <c r="H116" s="83"/>
      <c r="I116" s="86"/>
      <c r="J116" s="87"/>
      <c r="K116" s="87"/>
      <c r="L116" s="87"/>
      <c r="M116" s="87"/>
      <c r="N116" s="87"/>
      <c r="O116" s="103"/>
      <c r="P116" s="87"/>
    </row>
    <row r="117" spans="1:16" ht="15.5" customHeight="1" x14ac:dyDescent="0.3">
      <c r="A117" s="211" t="s">
        <v>30</v>
      </c>
      <c r="B117" s="212"/>
      <c r="C117" s="213"/>
      <c r="D117" s="11"/>
      <c r="E117" s="82"/>
      <c r="F117" s="82"/>
      <c r="G117" s="82"/>
      <c r="H117" s="26"/>
      <c r="I117" s="13">
        <f>H117</f>
        <v>0</v>
      </c>
      <c r="J117" s="82"/>
      <c r="K117" s="82"/>
      <c r="L117" s="82"/>
      <c r="M117" s="11"/>
      <c r="N117" s="12">
        <f>M117</f>
        <v>0</v>
      </c>
      <c r="O117" s="12">
        <f t="shared" si="12"/>
        <v>0</v>
      </c>
      <c r="P117" s="11"/>
    </row>
    <row r="118" spans="1:16" ht="15.5" customHeight="1" x14ac:dyDescent="0.3">
      <c r="A118" s="211" t="s">
        <v>31</v>
      </c>
      <c r="B118" s="212"/>
      <c r="C118" s="213"/>
      <c r="D118" s="11"/>
      <c r="E118" s="82"/>
      <c r="F118" s="82"/>
      <c r="G118" s="82"/>
      <c r="H118" s="26"/>
      <c r="I118" s="13">
        <f t="shared" ref="I118:I119" si="17">H118</f>
        <v>0</v>
      </c>
      <c r="J118" s="82"/>
      <c r="K118" s="82"/>
      <c r="L118" s="82"/>
      <c r="M118" s="11"/>
      <c r="N118" s="12">
        <f t="shared" ref="N118:N119" si="18">M118</f>
        <v>0</v>
      </c>
      <c r="O118" s="12">
        <f t="shared" si="12"/>
        <v>0</v>
      </c>
      <c r="P118" s="11"/>
    </row>
    <row r="119" spans="1:16" ht="15.5" customHeight="1" x14ac:dyDescent="0.3">
      <c r="A119" s="211" t="s">
        <v>32</v>
      </c>
      <c r="B119" s="212"/>
      <c r="C119" s="213"/>
      <c r="D119" s="11"/>
      <c r="E119" s="82"/>
      <c r="F119" s="82"/>
      <c r="G119" s="82"/>
      <c r="H119" s="26"/>
      <c r="I119" s="13">
        <f t="shared" si="17"/>
        <v>0</v>
      </c>
      <c r="J119" s="82"/>
      <c r="K119" s="82"/>
      <c r="L119" s="82"/>
      <c r="M119" s="11"/>
      <c r="N119" s="12">
        <f t="shared" si="18"/>
        <v>0</v>
      </c>
      <c r="O119" s="12">
        <f t="shared" si="12"/>
        <v>0</v>
      </c>
      <c r="P119" s="11"/>
    </row>
    <row r="120" spans="1:16" ht="13" customHeight="1" x14ac:dyDescent="0.3">
      <c r="A120" s="261"/>
      <c r="B120" s="262"/>
      <c r="C120" s="263"/>
      <c r="D120" s="16"/>
      <c r="E120" s="12"/>
      <c r="F120" s="12"/>
      <c r="G120" s="12"/>
      <c r="H120" s="26"/>
      <c r="I120" s="16"/>
      <c r="J120" s="16"/>
      <c r="K120" s="16"/>
      <c r="L120" s="16"/>
      <c r="M120" s="16"/>
      <c r="N120" s="16"/>
      <c r="O120" s="104"/>
      <c r="P120" s="16"/>
    </row>
    <row r="121" spans="1:16" x14ac:dyDescent="0.3">
      <c r="A121" s="208" t="s">
        <v>40</v>
      </c>
      <c r="B121" s="209"/>
      <c r="C121" s="210"/>
      <c r="D121" s="19">
        <v>310500000000000</v>
      </c>
      <c r="E121" s="105"/>
      <c r="F121" s="105"/>
      <c r="G121" s="105"/>
      <c r="H121" s="106"/>
      <c r="I121" s="107"/>
      <c r="J121" s="108"/>
      <c r="K121" s="108"/>
      <c r="L121" s="108"/>
      <c r="M121" s="108"/>
      <c r="N121" s="108"/>
      <c r="O121" s="103"/>
      <c r="P121" s="108"/>
    </row>
    <row r="122" spans="1:16" x14ac:dyDescent="0.3">
      <c r="A122" s="233" t="s">
        <v>86</v>
      </c>
      <c r="B122" s="234"/>
      <c r="C122" s="235"/>
      <c r="D122" s="87"/>
      <c r="E122" s="82"/>
      <c r="F122" s="82"/>
      <c r="G122" s="82"/>
      <c r="H122" s="83"/>
      <c r="I122" s="93"/>
      <c r="J122" s="87"/>
      <c r="K122" s="87"/>
      <c r="L122" s="87"/>
      <c r="M122" s="87"/>
      <c r="N122" s="87"/>
      <c r="O122" s="103"/>
      <c r="P122" s="87"/>
    </row>
    <row r="123" spans="1:16" s="10" customFormat="1" ht="28.25" customHeight="1" x14ac:dyDescent="0.35">
      <c r="A123" s="227" t="s">
        <v>96</v>
      </c>
      <c r="B123" s="228"/>
      <c r="C123" s="229"/>
      <c r="D123" s="12"/>
      <c r="E123" s="98"/>
      <c r="F123" s="98"/>
      <c r="G123" s="98"/>
      <c r="H123" s="68"/>
      <c r="I123" s="98" t="e">
        <f>AVERAGE(E123:H123)</f>
        <v>#DIV/0!</v>
      </c>
      <c r="J123" s="12" t="s">
        <v>170</v>
      </c>
      <c r="K123" s="12"/>
      <c r="L123" s="12"/>
      <c r="M123" s="12"/>
      <c r="N123" s="12" t="e">
        <f>AVERAGE(J123:M123)</f>
        <v>#DIV/0!</v>
      </c>
      <c r="O123" s="71" t="e">
        <f t="shared" si="12"/>
        <v>#DIV/0!</v>
      </c>
      <c r="P123" s="12"/>
    </row>
    <row r="124" spans="1:16" s="10" customFormat="1" ht="15.5" customHeight="1" x14ac:dyDescent="0.35">
      <c r="A124" s="72"/>
      <c r="B124" s="73"/>
      <c r="C124" s="74" t="s">
        <v>109</v>
      </c>
      <c r="D124" s="12"/>
      <c r="E124" s="98"/>
      <c r="F124" s="98"/>
      <c r="G124" s="98"/>
      <c r="H124" s="68"/>
      <c r="I124" s="98" t="e">
        <f>AVERAGE(E124:H124)</f>
        <v>#DIV/0!</v>
      </c>
      <c r="J124" s="12" t="s">
        <v>170</v>
      </c>
      <c r="K124" s="12"/>
      <c r="L124" s="12"/>
      <c r="M124" s="12"/>
      <c r="N124" s="12" t="e">
        <f>AVERAGE(J124:M124)</f>
        <v>#DIV/0!</v>
      </c>
      <c r="O124" s="71" t="e">
        <f t="shared" si="12"/>
        <v>#DIV/0!</v>
      </c>
      <c r="P124" s="12"/>
    </row>
    <row r="125" spans="1:16" s="10" customFormat="1" ht="15.5" customHeight="1" x14ac:dyDescent="0.35">
      <c r="A125" s="72"/>
      <c r="B125" s="73"/>
      <c r="C125" s="75" t="s">
        <v>110</v>
      </c>
      <c r="D125" s="12"/>
      <c r="E125" s="12"/>
      <c r="F125" s="12"/>
      <c r="G125" s="12"/>
      <c r="H125" s="26"/>
      <c r="I125" s="52" t="e">
        <f>AVERAGE(E125:H125)</f>
        <v>#DIV/0!</v>
      </c>
      <c r="J125" s="12" t="s">
        <v>170</v>
      </c>
      <c r="K125" s="12"/>
      <c r="L125" s="12"/>
      <c r="M125" s="12"/>
      <c r="N125" s="12" t="e">
        <f t="shared" ref="N125:N128" si="19">AVERAGE(J125:M125)</f>
        <v>#DIV/0!</v>
      </c>
      <c r="O125" s="71" t="e">
        <f t="shared" si="12"/>
        <v>#DIV/0!</v>
      </c>
      <c r="P125" s="12"/>
    </row>
    <row r="126" spans="1:16" s="10" customFormat="1" ht="15.5" customHeight="1" x14ac:dyDescent="0.35">
      <c r="A126" s="72"/>
      <c r="B126" s="73"/>
      <c r="C126" s="75" t="s">
        <v>56</v>
      </c>
      <c r="D126" s="12"/>
      <c r="E126" s="12"/>
      <c r="F126" s="12"/>
      <c r="G126" s="12"/>
      <c r="H126" s="26"/>
      <c r="I126" s="52" t="e">
        <f t="shared" ref="I126:I128" si="20">AVERAGE(E126:H126)</f>
        <v>#DIV/0!</v>
      </c>
      <c r="J126" s="12" t="s">
        <v>170</v>
      </c>
      <c r="K126" s="12"/>
      <c r="L126" s="12"/>
      <c r="M126" s="12"/>
      <c r="N126" s="12" t="e">
        <f t="shared" si="19"/>
        <v>#DIV/0!</v>
      </c>
      <c r="O126" s="71" t="e">
        <f t="shared" si="12"/>
        <v>#DIV/0!</v>
      </c>
      <c r="P126" s="12"/>
    </row>
    <row r="127" spans="1:16" s="10" customFormat="1" ht="15.5" customHeight="1" x14ac:dyDescent="0.35">
      <c r="A127" s="72"/>
      <c r="B127" s="73"/>
      <c r="C127" s="75" t="s">
        <v>57</v>
      </c>
      <c r="D127" s="12"/>
      <c r="E127" s="12"/>
      <c r="F127" s="12"/>
      <c r="G127" s="12"/>
      <c r="H127" s="26"/>
      <c r="I127" s="52" t="e">
        <f t="shared" si="20"/>
        <v>#DIV/0!</v>
      </c>
      <c r="J127" s="12" t="s">
        <v>170</v>
      </c>
      <c r="K127" s="12"/>
      <c r="L127" s="12"/>
      <c r="M127" s="12"/>
      <c r="N127" s="12" t="e">
        <f t="shared" si="19"/>
        <v>#DIV/0!</v>
      </c>
      <c r="O127" s="71" t="e">
        <f t="shared" si="12"/>
        <v>#DIV/0!</v>
      </c>
      <c r="P127" s="12"/>
    </row>
    <row r="128" spans="1:16" s="10" customFormat="1" ht="15.5" customHeight="1" x14ac:dyDescent="0.35">
      <c r="A128" s="72"/>
      <c r="B128" s="73"/>
      <c r="C128" s="75" t="s">
        <v>58</v>
      </c>
      <c r="D128" s="12"/>
      <c r="E128" s="12"/>
      <c r="F128" s="12"/>
      <c r="G128" s="12"/>
      <c r="H128" s="26"/>
      <c r="I128" s="52" t="e">
        <f t="shared" si="20"/>
        <v>#DIV/0!</v>
      </c>
      <c r="J128" s="12" t="s">
        <v>170</v>
      </c>
      <c r="K128" s="12"/>
      <c r="L128" s="12"/>
      <c r="M128" s="12"/>
      <c r="N128" s="12" t="e">
        <f t="shared" si="19"/>
        <v>#DIV/0!</v>
      </c>
      <c r="O128" s="71" t="e">
        <f t="shared" si="12"/>
        <v>#DIV/0!</v>
      </c>
      <c r="P128" s="12"/>
    </row>
    <row r="129" spans="1:16" s="10" customFormat="1" ht="15.5" customHeight="1" x14ac:dyDescent="0.35">
      <c r="A129" s="72"/>
      <c r="B129" s="73"/>
      <c r="C129" s="74"/>
      <c r="D129" s="12"/>
      <c r="E129" s="12"/>
      <c r="F129" s="12"/>
      <c r="G129" s="12"/>
      <c r="H129" s="26"/>
      <c r="I129" s="52"/>
      <c r="J129" s="12"/>
      <c r="K129" s="12"/>
      <c r="L129" s="12"/>
      <c r="M129" s="12"/>
      <c r="N129" s="12"/>
      <c r="O129" s="71"/>
      <c r="P129" s="12"/>
    </row>
    <row r="130" spans="1:16" x14ac:dyDescent="0.3">
      <c r="A130" s="224" t="s">
        <v>59</v>
      </c>
      <c r="B130" s="225"/>
      <c r="C130" s="226"/>
      <c r="D130" s="87"/>
      <c r="E130" s="82"/>
      <c r="F130" s="82"/>
      <c r="G130" s="82"/>
      <c r="H130" s="83"/>
      <c r="I130" s="93"/>
      <c r="J130" s="87"/>
      <c r="K130" s="87"/>
      <c r="L130" s="87"/>
      <c r="M130" s="87"/>
      <c r="N130" s="87"/>
      <c r="O130" s="103"/>
      <c r="P130" s="87"/>
    </row>
    <row r="131" spans="1:16" ht="31.25" customHeight="1" x14ac:dyDescent="0.3">
      <c r="A131" s="227" t="s">
        <v>97</v>
      </c>
      <c r="B131" s="228"/>
      <c r="C131" s="229"/>
      <c r="D131" s="16"/>
      <c r="E131" s="12"/>
      <c r="F131" s="12"/>
      <c r="G131" s="12"/>
      <c r="H131" s="26"/>
      <c r="I131" s="12"/>
      <c r="J131" s="16" t="s">
        <v>170</v>
      </c>
      <c r="K131" s="16"/>
      <c r="L131" s="16"/>
      <c r="M131" s="16"/>
      <c r="N131" s="12"/>
      <c r="O131" s="12"/>
      <c r="P131" s="16"/>
    </row>
    <row r="132" spans="1:16" ht="14.5" customHeight="1" x14ac:dyDescent="0.3">
      <c r="A132" s="227" t="s">
        <v>113</v>
      </c>
      <c r="B132" s="228"/>
      <c r="C132" s="229"/>
      <c r="D132" s="16"/>
      <c r="E132" s="12"/>
      <c r="F132" s="12"/>
      <c r="G132" s="12"/>
      <c r="H132" s="26"/>
      <c r="I132" s="12">
        <f>SUM(E132:H132)</f>
        <v>0</v>
      </c>
      <c r="J132" s="16" t="s">
        <v>170</v>
      </c>
      <c r="K132" s="16"/>
      <c r="L132" s="16"/>
      <c r="M132" s="16"/>
      <c r="N132" s="12">
        <f>SUM(J132:M132)</f>
        <v>0</v>
      </c>
      <c r="O132" s="12">
        <f t="shared" ref="O132:O134" si="21">N132-I132</f>
        <v>0</v>
      </c>
      <c r="P132" s="16"/>
    </row>
    <row r="133" spans="1:16" ht="14.5" customHeight="1" x14ac:dyDescent="0.3">
      <c r="A133" s="227" t="s">
        <v>114</v>
      </c>
      <c r="B133" s="228"/>
      <c r="C133" s="229"/>
      <c r="D133" s="16"/>
      <c r="E133" s="12"/>
      <c r="F133" s="12"/>
      <c r="G133" s="12"/>
      <c r="H133" s="26"/>
      <c r="I133" s="12">
        <f>SUM(E133:H133)</f>
        <v>0</v>
      </c>
      <c r="J133" s="16" t="s">
        <v>170</v>
      </c>
      <c r="K133" s="16"/>
      <c r="L133" s="16"/>
      <c r="M133" s="16"/>
      <c r="N133" s="12">
        <f>SUM(J133:M133)</f>
        <v>0</v>
      </c>
      <c r="O133" s="12">
        <f t="shared" si="21"/>
        <v>0</v>
      </c>
      <c r="P133" s="16"/>
    </row>
    <row r="134" spans="1:16" ht="14.5" customHeight="1" x14ac:dyDescent="0.3">
      <c r="A134" s="227" t="s">
        <v>115</v>
      </c>
      <c r="B134" s="228"/>
      <c r="C134" s="229"/>
      <c r="D134" s="16"/>
      <c r="E134" s="12"/>
      <c r="F134" s="12"/>
      <c r="G134" s="12"/>
      <c r="H134" s="26"/>
      <c r="I134" s="12">
        <f>SUM(E134:H134)</f>
        <v>0</v>
      </c>
      <c r="J134" s="16" t="s">
        <v>170</v>
      </c>
      <c r="K134" s="16"/>
      <c r="L134" s="16"/>
      <c r="M134" s="16"/>
      <c r="N134" s="12">
        <f>SUM(J134:M134)</f>
        <v>0</v>
      </c>
      <c r="O134" s="12">
        <f t="shared" si="21"/>
        <v>0</v>
      </c>
      <c r="P134" s="16"/>
    </row>
    <row r="135" spans="1:16" ht="14.5" customHeight="1" x14ac:dyDescent="0.3">
      <c r="A135" s="240"/>
      <c r="B135" s="241"/>
      <c r="C135" s="242"/>
      <c r="D135" s="110"/>
      <c r="E135" s="111"/>
      <c r="F135" s="111"/>
      <c r="G135" s="111"/>
      <c r="H135" s="112"/>
      <c r="I135" s="111"/>
      <c r="J135" s="110"/>
      <c r="K135" s="110"/>
      <c r="L135" s="110"/>
      <c r="M135" s="110"/>
      <c r="N135" s="111"/>
      <c r="O135" s="111"/>
      <c r="P135" s="110"/>
    </row>
    <row r="136" spans="1:16" x14ac:dyDescent="0.3">
      <c r="A136" s="215"/>
      <c r="B136" s="215"/>
      <c r="C136" s="215"/>
    </row>
    <row r="137" spans="1:16" x14ac:dyDescent="0.3">
      <c r="A137" s="268" t="s">
        <v>34</v>
      </c>
      <c r="B137" s="268"/>
      <c r="C137" s="268"/>
      <c r="H137" s="268" t="s">
        <v>35</v>
      </c>
      <c r="I137" s="268"/>
      <c r="J137" s="268"/>
      <c r="M137" s="268" t="s">
        <v>14</v>
      </c>
      <c r="N137" s="268"/>
      <c r="O137" s="268"/>
    </row>
    <row r="138" spans="1:16" x14ac:dyDescent="0.3">
      <c r="A138" s="215"/>
      <c r="B138" s="215"/>
      <c r="C138" s="215"/>
      <c r="H138" s="215"/>
      <c r="I138" s="215"/>
      <c r="J138" s="215"/>
      <c r="M138" s="215"/>
      <c r="N138" s="215"/>
      <c r="O138" s="215"/>
    </row>
    <row r="139" spans="1:16" x14ac:dyDescent="0.3">
      <c r="A139" s="307"/>
      <c r="B139" s="307"/>
      <c r="C139" s="307"/>
      <c r="H139" s="307"/>
      <c r="I139" s="307"/>
      <c r="J139" s="307"/>
      <c r="M139" s="307"/>
      <c r="N139" s="307"/>
      <c r="O139" s="307"/>
    </row>
    <row r="140" spans="1:16" x14ac:dyDescent="0.3">
      <c r="A140" s="209"/>
      <c r="B140" s="209"/>
      <c r="C140" s="209"/>
      <c r="H140" s="209"/>
      <c r="I140" s="209"/>
      <c r="J140" s="209"/>
      <c r="M140" s="1" t="s">
        <v>33</v>
      </c>
      <c r="N140" s="1"/>
      <c r="O140" s="1"/>
      <c r="P140" s="3"/>
    </row>
    <row r="141" spans="1:16" x14ac:dyDescent="0.3">
      <c r="A141" s="267" t="s">
        <v>13</v>
      </c>
      <c r="B141" s="267"/>
      <c r="C141" s="267"/>
      <c r="H141" s="30" t="s">
        <v>13</v>
      </c>
      <c r="M141" s="267" t="s">
        <v>13</v>
      </c>
      <c r="N141" s="267"/>
      <c r="O141" s="267"/>
      <c r="P141" s="267"/>
    </row>
  </sheetData>
  <mergeCells count="117">
    <mergeCell ref="O1:P1"/>
    <mergeCell ref="O2:P2"/>
    <mergeCell ref="E4:J4"/>
    <mergeCell ref="E5:J5"/>
    <mergeCell ref="C8:D8"/>
    <mergeCell ref="C9:D9"/>
    <mergeCell ref="O13:O14"/>
    <mergeCell ref="P13:P14"/>
    <mergeCell ref="A15:C15"/>
    <mergeCell ref="A16:C16"/>
    <mergeCell ref="A17:C17"/>
    <mergeCell ref="A18:C18"/>
    <mergeCell ref="C10:D10"/>
    <mergeCell ref="C11:D11"/>
    <mergeCell ref="A13:C14"/>
    <mergeCell ref="D13:D14"/>
    <mergeCell ref="E13:I13"/>
    <mergeCell ref="J13:N13"/>
    <mergeCell ref="A28:C28"/>
    <mergeCell ref="A29:C29"/>
    <mergeCell ref="A30:C30"/>
    <mergeCell ref="A31:C31"/>
    <mergeCell ref="A32:C32"/>
    <mergeCell ref="A36:C36"/>
    <mergeCell ref="A19:C19"/>
    <mergeCell ref="A21:C21"/>
    <mergeCell ref="A23:C23"/>
    <mergeCell ref="A24:C24"/>
    <mergeCell ref="A25:C25"/>
    <mergeCell ref="A27:C27"/>
    <mergeCell ref="A50:C50"/>
    <mergeCell ref="A52:C52"/>
    <mergeCell ref="A55:C55"/>
    <mergeCell ref="A56:C56"/>
    <mergeCell ref="A58:C58"/>
    <mergeCell ref="A60:C60"/>
    <mergeCell ref="A38:C38"/>
    <mergeCell ref="A41:C41"/>
    <mergeCell ref="A42:C42"/>
    <mergeCell ref="A44:C44"/>
    <mergeCell ref="A46:C46"/>
    <mergeCell ref="A48:C48"/>
    <mergeCell ref="A69:C69"/>
    <mergeCell ref="A70:C70"/>
    <mergeCell ref="A71:C71"/>
    <mergeCell ref="A72:C72"/>
    <mergeCell ref="A73:C73"/>
    <mergeCell ref="A74:C74"/>
    <mergeCell ref="A62:C62"/>
    <mergeCell ref="A63:C63"/>
    <mergeCell ref="A64:C64"/>
    <mergeCell ref="A65:C65"/>
    <mergeCell ref="A66:C66"/>
    <mergeCell ref="A67:C67"/>
    <mergeCell ref="A83:C83"/>
    <mergeCell ref="A85:C85"/>
    <mergeCell ref="A87:C87"/>
    <mergeCell ref="A88:C88"/>
    <mergeCell ref="A89:C89"/>
    <mergeCell ref="A90:C90"/>
    <mergeCell ref="A75:C75"/>
    <mergeCell ref="A76:C76"/>
    <mergeCell ref="A77:C77"/>
    <mergeCell ref="A78:C78"/>
    <mergeCell ref="A79:C79"/>
    <mergeCell ref="A81:C81"/>
    <mergeCell ref="A97:C97"/>
    <mergeCell ref="A98:C98"/>
    <mergeCell ref="A99:C99"/>
    <mergeCell ref="A100:C100"/>
    <mergeCell ref="A101:C101"/>
    <mergeCell ref="A102:C102"/>
    <mergeCell ref="A91:C91"/>
    <mergeCell ref="A92:C92"/>
    <mergeCell ref="A93:C93"/>
    <mergeCell ref="A94:C94"/>
    <mergeCell ref="A95:C95"/>
    <mergeCell ref="A96:C96"/>
    <mergeCell ref="A109:C109"/>
    <mergeCell ref="A111:C111"/>
    <mergeCell ref="A112:C112"/>
    <mergeCell ref="A113:C113"/>
    <mergeCell ref="A114:C114"/>
    <mergeCell ref="A116:C116"/>
    <mergeCell ref="A103:C103"/>
    <mergeCell ref="A104:C104"/>
    <mergeCell ref="A105:C105"/>
    <mergeCell ref="A106:C106"/>
    <mergeCell ref="A107:C107"/>
    <mergeCell ref="A108:C108"/>
    <mergeCell ref="A123:C123"/>
    <mergeCell ref="A130:C130"/>
    <mergeCell ref="A131:C131"/>
    <mergeCell ref="A132:C132"/>
    <mergeCell ref="A133:C133"/>
    <mergeCell ref="A134:C134"/>
    <mergeCell ref="A117:C117"/>
    <mergeCell ref="A118:C118"/>
    <mergeCell ref="A119:C119"/>
    <mergeCell ref="A120:C120"/>
    <mergeCell ref="A121:C121"/>
    <mergeCell ref="A122:C122"/>
    <mergeCell ref="A139:C139"/>
    <mergeCell ref="H139:J139"/>
    <mergeCell ref="M139:O139"/>
    <mergeCell ref="A140:C140"/>
    <mergeCell ref="H140:J140"/>
    <mergeCell ref="A141:C141"/>
    <mergeCell ref="M141:P141"/>
    <mergeCell ref="A135:C135"/>
    <mergeCell ref="A136:C136"/>
    <mergeCell ref="A137:C137"/>
    <mergeCell ref="H137:J137"/>
    <mergeCell ref="M137:O137"/>
    <mergeCell ref="A138:C138"/>
    <mergeCell ref="H138:J138"/>
    <mergeCell ref="M138:O138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8AE7-519F-4619-9ED8-FF54169A5A4D}">
  <sheetPr>
    <pageSetUpPr fitToPage="1"/>
  </sheetPr>
  <dimension ref="A1:P34"/>
  <sheetViews>
    <sheetView view="pageBreakPreview" zoomScale="60" zoomScaleNormal="92" workbookViewId="0">
      <selection activeCell="F26" sqref="F26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116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x14ac:dyDescent="0.3">
      <c r="A15" s="322">
        <v>1</v>
      </c>
      <c r="B15" s="322"/>
      <c r="C15" s="322"/>
      <c r="D15" s="113">
        <v>2</v>
      </c>
      <c r="E15" s="113">
        <v>3</v>
      </c>
      <c r="F15" s="113">
        <v>4</v>
      </c>
      <c r="G15" s="113">
        <v>5</v>
      </c>
      <c r="H15" s="114">
        <v>6</v>
      </c>
      <c r="I15" s="113" t="s">
        <v>21</v>
      </c>
      <c r="J15" s="113">
        <v>8</v>
      </c>
      <c r="K15" s="113">
        <v>9</v>
      </c>
      <c r="L15" s="113">
        <v>10</v>
      </c>
      <c r="M15" s="113">
        <v>11</v>
      </c>
      <c r="N15" s="113" t="s">
        <v>22</v>
      </c>
      <c r="O15" s="113">
        <v>13</v>
      </c>
      <c r="P15" s="113">
        <v>14</v>
      </c>
    </row>
    <row r="16" spans="1:16" s="4" customFormat="1" ht="82.5" customHeight="1" x14ac:dyDescent="0.45">
      <c r="A16" s="323" t="s">
        <v>36</v>
      </c>
      <c r="B16" s="323"/>
      <c r="C16" s="323"/>
      <c r="D16" s="125"/>
      <c r="E16" s="115"/>
      <c r="F16" s="115"/>
      <c r="G16" s="115"/>
      <c r="H16" s="115"/>
      <c r="I16" s="126"/>
      <c r="J16" s="125"/>
      <c r="K16" s="125"/>
      <c r="L16" s="125"/>
      <c r="M16" s="125"/>
      <c r="N16" s="125"/>
      <c r="O16" s="125"/>
      <c r="P16" s="125"/>
    </row>
    <row r="17" spans="1:16" s="4" customFormat="1" ht="20" x14ac:dyDescent="0.3">
      <c r="A17" s="320" t="s">
        <v>37</v>
      </c>
      <c r="B17" s="320"/>
      <c r="C17" s="320"/>
      <c r="D17" s="127">
        <v>310100000000000</v>
      </c>
      <c r="E17" s="116"/>
      <c r="F17" s="116"/>
      <c r="G17" s="116"/>
      <c r="H17" s="116"/>
      <c r="I17" s="128"/>
      <c r="J17" s="129"/>
      <c r="K17" s="129"/>
      <c r="L17" s="129"/>
      <c r="M17" s="129"/>
      <c r="N17" s="129"/>
      <c r="O17" s="129"/>
      <c r="P17" s="129"/>
    </row>
    <row r="18" spans="1:16" s="4" customFormat="1" ht="20" x14ac:dyDescent="0.3">
      <c r="A18" s="321" t="s">
        <v>38</v>
      </c>
      <c r="B18" s="321"/>
      <c r="C18" s="321"/>
      <c r="D18" s="129"/>
      <c r="E18" s="116"/>
      <c r="F18" s="116"/>
      <c r="G18" s="116"/>
      <c r="H18" s="116"/>
      <c r="I18" s="128"/>
      <c r="J18" s="129"/>
      <c r="K18" s="129"/>
      <c r="L18" s="129"/>
      <c r="M18" s="129"/>
      <c r="N18" s="129"/>
      <c r="O18" s="129"/>
      <c r="P18" s="129"/>
    </row>
    <row r="19" spans="1:16" s="133" customFormat="1" ht="40" customHeight="1" x14ac:dyDescent="0.35">
      <c r="A19" s="318" t="s">
        <v>43</v>
      </c>
      <c r="B19" s="318"/>
      <c r="C19" s="318"/>
      <c r="D19" s="130"/>
      <c r="E19" s="116"/>
      <c r="F19" s="116"/>
      <c r="G19" s="116"/>
      <c r="H19" s="117"/>
      <c r="I19" s="131" t="e">
        <f>AVERAGE(E19:H19)</f>
        <v>#DIV/0!</v>
      </c>
      <c r="J19" s="132"/>
      <c r="K19" s="132"/>
      <c r="L19" s="132"/>
      <c r="M19" s="132"/>
      <c r="N19" s="123" t="e">
        <f>AVERAGE(J19:M19)</f>
        <v>#DIV/0!</v>
      </c>
      <c r="O19" s="122" t="e">
        <f>N19-I19</f>
        <v>#DIV/0!</v>
      </c>
      <c r="P19" s="130"/>
    </row>
    <row r="20" spans="1:16" s="133" customFormat="1" ht="21" x14ac:dyDescent="0.35">
      <c r="A20" s="144"/>
      <c r="B20" s="144"/>
      <c r="C20" s="144"/>
      <c r="D20" s="130"/>
      <c r="E20" s="116"/>
      <c r="F20" s="116"/>
      <c r="G20" s="116"/>
      <c r="H20" s="118"/>
      <c r="I20" s="124"/>
      <c r="J20" s="130"/>
      <c r="K20" s="130"/>
      <c r="L20" s="130"/>
      <c r="M20" s="130"/>
      <c r="N20" s="130"/>
      <c r="O20" s="122"/>
      <c r="P20" s="130"/>
    </row>
    <row r="21" spans="1:16" s="133" customFormat="1" ht="40" customHeight="1" x14ac:dyDescent="0.35">
      <c r="A21" s="318" t="s">
        <v>44</v>
      </c>
      <c r="B21" s="318"/>
      <c r="C21" s="318"/>
      <c r="D21" s="130"/>
      <c r="E21" s="116"/>
      <c r="F21" s="116"/>
      <c r="G21" s="116"/>
      <c r="H21" s="117"/>
      <c r="I21" s="124" t="e">
        <f>AVERAGE(E21:H21)</f>
        <v>#DIV/0!</v>
      </c>
      <c r="J21" s="130"/>
      <c r="K21" s="130"/>
      <c r="L21" s="130"/>
      <c r="M21" s="130"/>
      <c r="N21" s="116" t="e">
        <f>AVERAGE(J21:M21)</f>
        <v>#DIV/0!</v>
      </c>
      <c r="O21" s="122" t="e">
        <f t="shared" ref="O21:O27" si="0">N21-I21</f>
        <v>#DIV/0!</v>
      </c>
      <c r="P21" s="130"/>
    </row>
    <row r="22" spans="1:16" s="133" customFormat="1" ht="21" x14ac:dyDescent="0.35">
      <c r="A22" s="144"/>
      <c r="B22" s="144"/>
      <c r="C22" s="144"/>
      <c r="D22" s="130"/>
      <c r="E22" s="116"/>
      <c r="F22" s="116"/>
      <c r="G22" s="116"/>
      <c r="H22" s="117"/>
      <c r="I22" s="116"/>
      <c r="J22" s="130"/>
      <c r="K22" s="130"/>
      <c r="L22" s="130"/>
      <c r="M22" s="130"/>
      <c r="N22" s="130"/>
      <c r="O22" s="122"/>
      <c r="P22" s="130"/>
    </row>
    <row r="23" spans="1:16" s="4" customFormat="1" ht="20" x14ac:dyDescent="0.3">
      <c r="A23" s="319" t="s">
        <v>39</v>
      </c>
      <c r="B23" s="319"/>
      <c r="C23" s="319"/>
      <c r="D23" s="129"/>
      <c r="E23" s="116"/>
      <c r="F23" s="116"/>
      <c r="G23" s="116"/>
      <c r="H23" s="116"/>
      <c r="I23" s="128"/>
      <c r="J23" s="129"/>
      <c r="K23" s="129"/>
      <c r="L23" s="129"/>
      <c r="M23" s="129"/>
      <c r="N23" s="129"/>
      <c r="O23" s="122"/>
      <c r="P23" s="129"/>
    </row>
    <row r="24" spans="1:16" s="4" customFormat="1" ht="21" x14ac:dyDescent="0.3">
      <c r="A24" s="318" t="s">
        <v>55</v>
      </c>
      <c r="B24" s="318"/>
      <c r="C24" s="318"/>
      <c r="D24" s="129"/>
      <c r="E24" s="116"/>
      <c r="F24" s="116"/>
      <c r="G24" s="116"/>
      <c r="H24" s="116"/>
      <c r="I24" s="134">
        <f>SUM(E24:H24)</f>
        <v>0</v>
      </c>
      <c r="J24" s="129"/>
      <c r="K24" s="129"/>
      <c r="L24" s="129"/>
      <c r="M24" s="129"/>
      <c r="N24" s="116">
        <f>SUM(J24:M24)</f>
        <v>0</v>
      </c>
      <c r="O24" s="116">
        <f t="shared" si="0"/>
        <v>0</v>
      </c>
      <c r="P24" s="129"/>
    </row>
    <row r="25" spans="1:16" s="4" customFormat="1" ht="21" x14ac:dyDescent="0.3">
      <c r="A25" s="318" t="s">
        <v>53</v>
      </c>
      <c r="B25" s="318"/>
      <c r="C25" s="318"/>
      <c r="D25" s="129"/>
      <c r="E25" s="116"/>
      <c r="F25" s="116"/>
      <c r="G25" s="116"/>
      <c r="H25" s="116"/>
      <c r="I25" s="134">
        <f>SUM(E25:H25)</f>
        <v>0</v>
      </c>
      <c r="J25" s="129"/>
      <c r="K25" s="129"/>
      <c r="L25" s="129"/>
      <c r="M25" s="129"/>
      <c r="N25" s="116">
        <f t="shared" ref="N25:N26" si="1">SUM(J25:M25)</f>
        <v>0</v>
      </c>
      <c r="O25" s="116">
        <f t="shared" si="0"/>
        <v>0</v>
      </c>
      <c r="P25" s="129"/>
    </row>
    <row r="26" spans="1:16" s="4" customFormat="1" ht="40" x14ac:dyDescent="0.3">
      <c r="A26" s="144"/>
      <c r="B26" s="144"/>
      <c r="C26" s="145" t="s">
        <v>45</v>
      </c>
      <c r="D26" s="129"/>
      <c r="E26" s="116"/>
      <c r="F26" s="116"/>
      <c r="G26" s="116"/>
      <c r="H26" s="116"/>
      <c r="I26" s="134">
        <f>SUM(E26:H26)</f>
        <v>0</v>
      </c>
      <c r="J26" s="129"/>
      <c r="K26" s="129"/>
      <c r="L26" s="129"/>
      <c r="M26" s="129"/>
      <c r="N26" s="116">
        <f t="shared" si="1"/>
        <v>0</v>
      </c>
      <c r="O26" s="116">
        <f t="shared" si="0"/>
        <v>0</v>
      </c>
      <c r="P26" s="129"/>
    </row>
    <row r="27" spans="1:16" s="4" customFormat="1" ht="21" x14ac:dyDescent="0.3">
      <c r="A27" s="318" t="s">
        <v>54</v>
      </c>
      <c r="B27" s="318"/>
      <c r="C27" s="318"/>
      <c r="D27" s="129"/>
      <c r="E27" s="116"/>
      <c r="F27" s="116"/>
      <c r="G27" s="116"/>
      <c r="H27" s="116"/>
      <c r="I27" s="134">
        <f>SUM(E27:H27)</f>
        <v>0</v>
      </c>
      <c r="J27" s="129"/>
      <c r="K27" s="129"/>
      <c r="L27" s="129"/>
      <c r="M27" s="129"/>
      <c r="N27" s="116">
        <f>SUM(J27:M27)</f>
        <v>0</v>
      </c>
      <c r="O27" s="116">
        <f t="shared" si="0"/>
        <v>0</v>
      </c>
      <c r="P27" s="129"/>
    </row>
    <row r="28" spans="1:16" s="4" customFormat="1" ht="21" x14ac:dyDescent="0.45">
      <c r="A28" s="317"/>
      <c r="B28" s="317"/>
      <c r="C28" s="317"/>
      <c r="D28" s="129"/>
      <c r="E28" s="116"/>
      <c r="F28" s="116"/>
      <c r="G28" s="116"/>
      <c r="H28" s="116"/>
      <c r="I28" s="128"/>
      <c r="J28" s="129"/>
      <c r="K28" s="129"/>
      <c r="L28" s="129"/>
      <c r="M28" s="129"/>
      <c r="N28" s="129"/>
      <c r="O28" s="122"/>
      <c r="P28" s="129"/>
    </row>
    <row r="29" spans="1:16" x14ac:dyDescent="0.3">
      <c r="A29" s="215"/>
      <c r="B29" s="215"/>
      <c r="C29" s="215"/>
    </row>
    <row r="30" spans="1:16" x14ac:dyDescent="0.3">
      <c r="A30" s="268" t="s">
        <v>34</v>
      </c>
      <c r="B30" s="268"/>
      <c r="C30" s="268"/>
      <c r="H30" s="268" t="s">
        <v>35</v>
      </c>
      <c r="I30" s="268"/>
      <c r="J30" s="268"/>
      <c r="M30" s="268" t="s">
        <v>14</v>
      </c>
      <c r="N30" s="268"/>
      <c r="O30" s="268"/>
    </row>
    <row r="31" spans="1:16" x14ac:dyDescent="0.3">
      <c r="A31" s="215"/>
      <c r="B31" s="215"/>
      <c r="C31" s="215"/>
      <c r="H31" s="215"/>
      <c r="I31" s="215"/>
      <c r="J31" s="215"/>
      <c r="M31" s="215"/>
      <c r="N31" s="215"/>
      <c r="O31" s="215"/>
    </row>
    <row r="32" spans="1:16" x14ac:dyDescent="0.3">
      <c r="A32" s="307"/>
      <c r="B32" s="307"/>
      <c r="C32" s="307"/>
      <c r="H32" s="307"/>
      <c r="I32" s="307"/>
      <c r="J32" s="307"/>
      <c r="M32" s="307"/>
      <c r="N32" s="307"/>
      <c r="O32" s="307"/>
    </row>
    <row r="33" spans="1:16" x14ac:dyDescent="0.3">
      <c r="A33" s="209"/>
      <c r="B33" s="209"/>
      <c r="C33" s="209"/>
      <c r="H33" s="209"/>
      <c r="I33" s="209"/>
      <c r="J33" s="209"/>
      <c r="M33" s="1" t="s">
        <v>33</v>
      </c>
      <c r="N33" s="1"/>
      <c r="O33" s="1"/>
      <c r="P33" s="3"/>
    </row>
    <row r="34" spans="1:16" x14ac:dyDescent="0.3">
      <c r="A34" s="267" t="s">
        <v>13</v>
      </c>
      <c r="B34" s="267"/>
      <c r="C34" s="267"/>
      <c r="H34" s="30" t="s">
        <v>13</v>
      </c>
      <c r="M34" s="267" t="s">
        <v>13</v>
      </c>
      <c r="N34" s="267"/>
      <c r="O34" s="267"/>
      <c r="P34" s="267"/>
    </row>
  </sheetData>
  <mergeCells count="39">
    <mergeCell ref="O1:P1"/>
    <mergeCell ref="O2:P2"/>
    <mergeCell ref="E4:J4"/>
    <mergeCell ref="E5:J5"/>
    <mergeCell ref="C8:D8"/>
    <mergeCell ref="C9:D9"/>
    <mergeCell ref="O13:O14"/>
    <mergeCell ref="P13:P14"/>
    <mergeCell ref="A15:C15"/>
    <mergeCell ref="A16:C16"/>
    <mergeCell ref="E13:I13"/>
    <mergeCell ref="J13:N13"/>
    <mergeCell ref="A17:C17"/>
    <mergeCell ref="A18:C18"/>
    <mergeCell ref="C10:D10"/>
    <mergeCell ref="C11:D11"/>
    <mergeCell ref="A13:C14"/>
    <mergeCell ref="D13:D14"/>
    <mergeCell ref="A28:C28"/>
    <mergeCell ref="A19:C19"/>
    <mergeCell ref="A21:C21"/>
    <mergeCell ref="A23:C23"/>
    <mergeCell ref="A24:C24"/>
    <mergeCell ref="A25:C25"/>
    <mergeCell ref="A27:C27"/>
    <mergeCell ref="A34:C34"/>
    <mergeCell ref="M34:P34"/>
    <mergeCell ref="A29:C29"/>
    <mergeCell ref="A30:C30"/>
    <mergeCell ref="H30:J30"/>
    <mergeCell ref="M30:O30"/>
    <mergeCell ref="A31:C31"/>
    <mergeCell ref="H31:J31"/>
    <mergeCell ref="M31:O31"/>
    <mergeCell ref="A32:C32"/>
    <mergeCell ref="H32:J32"/>
    <mergeCell ref="M32:O32"/>
    <mergeCell ref="A33:C33"/>
    <mergeCell ref="H33:J33"/>
  </mergeCells>
  <pageMargins left="0.25" right="0.25" top="0.75" bottom="0.75" header="0.3" footer="0.3"/>
  <pageSetup paperSize="9" scale="58" fitToHeight="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A5A3-5F79-4968-A7AC-21D1BD2B3D7E}">
  <dimension ref="A1:P68"/>
  <sheetViews>
    <sheetView view="pageBreakPreview" topLeftCell="A36" zoomScale="60" zoomScaleNormal="92" workbookViewId="0">
      <selection activeCell="E48" sqref="E48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116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x14ac:dyDescent="0.3">
      <c r="A15" s="322">
        <v>1</v>
      </c>
      <c r="B15" s="322"/>
      <c r="C15" s="322"/>
      <c r="D15" s="113">
        <v>2</v>
      </c>
      <c r="E15" s="113">
        <v>3</v>
      </c>
      <c r="F15" s="113">
        <v>4</v>
      </c>
      <c r="G15" s="113">
        <v>5</v>
      </c>
      <c r="H15" s="114">
        <v>6</v>
      </c>
      <c r="I15" s="113" t="s">
        <v>21</v>
      </c>
      <c r="J15" s="113">
        <v>8</v>
      </c>
      <c r="K15" s="113">
        <v>9</v>
      </c>
      <c r="L15" s="113">
        <v>10</v>
      </c>
      <c r="M15" s="113">
        <v>11</v>
      </c>
      <c r="N15" s="113" t="s">
        <v>22</v>
      </c>
      <c r="O15" s="113">
        <v>13</v>
      </c>
      <c r="P15" s="113">
        <v>14</v>
      </c>
    </row>
    <row r="16" spans="1:16" s="4" customFormat="1" ht="82.5" customHeight="1" x14ac:dyDescent="0.45">
      <c r="A16" s="323" t="s">
        <v>36</v>
      </c>
      <c r="B16" s="323"/>
      <c r="C16" s="323"/>
      <c r="D16" s="125"/>
      <c r="E16" s="115"/>
      <c r="F16" s="115"/>
      <c r="G16" s="115"/>
      <c r="H16" s="115"/>
      <c r="I16" s="126"/>
      <c r="J16" s="125"/>
      <c r="K16" s="125"/>
      <c r="L16" s="125"/>
      <c r="M16" s="125"/>
      <c r="N16" s="125"/>
      <c r="O16" s="125"/>
      <c r="P16" s="125"/>
    </row>
    <row r="17" spans="1:16" s="4" customFormat="1" ht="20" x14ac:dyDescent="0.4">
      <c r="A17" s="324" t="s">
        <v>47</v>
      </c>
      <c r="B17" s="324"/>
      <c r="C17" s="324"/>
      <c r="D17" s="127">
        <v>310200000000000</v>
      </c>
      <c r="E17" s="116"/>
      <c r="F17" s="116"/>
      <c r="G17" s="116"/>
      <c r="H17" s="116"/>
      <c r="I17" s="128"/>
      <c r="J17" s="129"/>
      <c r="K17" s="129"/>
      <c r="L17" s="129"/>
      <c r="M17" s="129"/>
      <c r="N17" s="129"/>
      <c r="O17" s="122"/>
      <c r="P17" s="129"/>
    </row>
    <row r="18" spans="1:16" s="4" customFormat="1" ht="20" x14ac:dyDescent="0.4">
      <c r="A18" s="325" t="s">
        <v>48</v>
      </c>
      <c r="B18" s="325"/>
      <c r="C18" s="325"/>
      <c r="D18" s="129"/>
      <c r="E18" s="116"/>
      <c r="F18" s="116"/>
      <c r="G18" s="116"/>
      <c r="H18" s="116"/>
      <c r="I18" s="128"/>
      <c r="J18" s="129"/>
      <c r="K18" s="129"/>
      <c r="L18" s="129"/>
      <c r="M18" s="129"/>
      <c r="N18" s="129"/>
      <c r="O18" s="122"/>
      <c r="P18" s="129"/>
    </row>
    <row r="19" spans="1:16" s="135" customFormat="1" ht="39" customHeight="1" x14ac:dyDescent="0.3">
      <c r="A19" s="318" t="s">
        <v>49</v>
      </c>
      <c r="B19" s="318"/>
      <c r="C19" s="318"/>
      <c r="D19" s="128"/>
      <c r="E19" s="116"/>
      <c r="F19" s="116"/>
      <c r="G19" s="116"/>
      <c r="H19" s="116"/>
      <c r="I19" s="128"/>
      <c r="J19" s="128"/>
      <c r="K19" s="128"/>
      <c r="L19" s="128"/>
      <c r="M19" s="128"/>
      <c r="N19" s="128"/>
      <c r="O19" s="122"/>
      <c r="P19" s="128"/>
    </row>
    <row r="20" spans="1:16" s="4" customFormat="1" ht="21" x14ac:dyDescent="0.45">
      <c r="A20" s="323" t="s">
        <v>25</v>
      </c>
      <c r="B20" s="323"/>
      <c r="C20" s="323"/>
      <c r="D20" s="129"/>
      <c r="E20" s="116"/>
      <c r="F20" s="117"/>
      <c r="G20" s="116"/>
      <c r="H20" s="116"/>
      <c r="I20" s="136">
        <f>F20</f>
        <v>0</v>
      </c>
      <c r="J20" s="116"/>
      <c r="K20" s="117"/>
      <c r="L20" s="116"/>
      <c r="M20" s="116"/>
      <c r="N20" s="136">
        <f>K20</f>
        <v>0</v>
      </c>
      <c r="O20" s="122">
        <f t="shared" ref="O20:O62" si="0">N20-I20</f>
        <v>0</v>
      </c>
      <c r="P20" s="129"/>
    </row>
    <row r="21" spans="1:16" s="4" customFormat="1" ht="21" x14ac:dyDescent="0.45">
      <c r="A21" s="143"/>
      <c r="B21" s="143"/>
      <c r="C21" s="143" t="s">
        <v>108</v>
      </c>
      <c r="D21" s="129"/>
      <c r="E21" s="116"/>
      <c r="F21" s="116"/>
      <c r="G21" s="116"/>
      <c r="H21" s="116"/>
      <c r="I21" s="128">
        <f t="shared" ref="I21:I27" si="1">F21</f>
        <v>0</v>
      </c>
      <c r="J21" s="116"/>
      <c r="K21" s="116"/>
      <c r="L21" s="116"/>
      <c r="M21" s="116"/>
      <c r="N21" s="128">
        <f t="shared" ref="N21:N27" si="2">K21</f>
        <v>0</v>
      </c>
      <c r="O21" s="116">
        <f t="shared" si="0"/>
        <v>0</v>
      </c>
      <c r="P21" s="129"/>
    </row>
    <row r="22" spans="1:16" s="4" customFormat="1" ht="21" x14ac:dyDescent="0.45">
      <c r="A22" s="143"/>
      <c r="B22" s="143"/>
      <c r="C22" s="146" t="s">
        <v>107</v>
      </c>
      <c r="D22" s="129"/>
      <c r="E22" s="116"/>
      <c r="F22" s="117"/>
      <c r="G22" s="116"/>
      <c r="H22" s="116"/>
      <c r="I22" s="136">
        <f t="shared" si="1"/>
        <v>0</v>
      </c>
      <c r="J22" s="116"/>
      <c r="K22" s="117"/>
      <c r="L22" s="116"/>
      <c r="M22" s="116"/>
      <c r="N22" s="136">
        <f t="shared" si="2"/>
        <v>0</v>
      </c>
      <c r="O22" s="122">
        <f t="shared" si="0"/>
        <v>0</v>
      </c>
      <c r="P22" s="129"/>
    </row>
    <row r="23" spans="1:16" s="4" customFormat="1" ht="21" x14ac:dyDescent="0.45">
      <c r="A23" s="143"/>
      <c r="B23" s="143"/>
      <c r="C23" s="143" t="s">
        <v>108</v>
      </c>
      <c r="D23" s="129"/>
      <c r="E23" s="116"/>
      <c r="F23" s="116"/>
      <c r="G23" s="116"/>
      <c r="H23" s="116"/>
      <c r="I23" s="128">
        <f t="shared" si="1"/>
        <v>0</v>
      </c>
      <c r="J23" s="116"/>
      <c r="K23" s="117"/>
      <c r="L23" s="116"/>
      <c r="M23" s="116"/>
      <c r="N23" s="128">
        <f t="shared" si="2"/>
        <v>0</v>
      </c>
      <c r="O23" s="116">
        <f t="shared" si="0"/>
        <v>0</v>
      </c>
      <c r="P23" s="129"/>
    </row>
    <row r="24" spans="1:16" s="4" customFormat="1" ht="21" x14ac:dyDescent="0.45">
      <c r="A24" s="323" t="s">
        <v>26</v>
      </c>
      <c r="B24" s="323"/>
      <c r="C24" s="323"/>
      <c r="D24" s="129"/>
      <c r="E24" s="116"/>
      <c r="F24" s="117"/>
      <c r="G24" s="116"/>
      <c r="H24" s="116"/>
      <c r="I24" s="136">
        <f t="shared" si="1"/>
        <v>0</v>
      </c>
      <c r="J24" s="116"/>
      <c r="K24" s="117"/>
      <c r="L24" s="116"/>
      <c r="M24" s="116"/>
      <c r="N24" s="136">
        <f t="shared" si="2"/>
        <v>0</v>
      </c>
      <c r="O24" s="122">
        <f t="shared" si="0"/>
        <v>0</v>
      </c>
      <c r="P24" s="129"/>
    </row>
    <row r="25" spans="1:16" s="4" customFormat="1" ht="21" x14ac:dyDescent="0.45">
      <c r="A25" s="143"/>
      <c r="B25" s="143"/>
      <c r="C25" s="143" t="s">
        <v>108</v>
      </c>
      <c r="D25" s="129"/>
      <c r="E25" s="116"/>
      <c r="F25" s="116"/>
      <c r="G25" s="116"/>
      <c r="H25" s="116"/>
      <c r="I25" s="128">
        <f t="shared" si="1"/>
        <v>0</v>
      </c>
      <c r="J25" s="116"/>
      <c r="K25" s="116"/>
      <c r="L25" s="116"/>
      <c r="M25" s="116"/>
      <c r="N25" s="128">
        <f t="shared" si="2"/>
        <v>0</v>
      </c>
      <c r="O25" s="116">
        <f t="shared" si="0"/>
        <v>0</v>
      </c>
      <c r="P25" s="129"/>
    </row>
    <row r="26" spans="1:16" s="4" customFormat="1" ht="21" x14ac:dyDescent="0.45">
      <c r="A26" s="323" t="s">
        <v>27</v>
      </c>
      <c r="B26" s="323"/>
      <c r="C26" s="323"/>
      <c r="D26" s="129"/>
      <c r="E26" s="116"/>
      <c r="F26" s="117"/>
      <c r="G26" s="116"/>
      <c r="H26" s="116"/>
      <c r="I26" s="136">
        <f t="shared" si="1"/>
        <v>0</v>
      </c>
      <c r="J26" s="116"/>
      <c r="K26" s="117"/>
      <c r="L26" s="116"/>
      <c r="M26" s="116"/>
      <c r="N26" s="136">
        <f t="shared" si="2"/>
        <v>0</v>
      </c>
      <c r="O26" s="122">
        <f t="shared" si="0"/>
        <v>0</v>
      </c>
      <c r="P26" s="129"/>
    </row>
    <row r="27" spans="1:16" s="4" customFormat="1" ht="21" x14ac:dyDescent="0.45">
      <c r="A27" s="143"/>
      <c r="B27" s="143"/>
      <c r="C27" s="143" t="s">
        <v>108</v>
      </c>
      <c r="D27" s="129"/>
      <c r="E27" s="116"/>
      <c r="F27" s="116"/>
      <c r="G27" s="116"/>
      <c r="H27" s="116"/>
      <c r="I27" s="128">
        <f t="shared" si="1"/>
        <v>0</v>
      </c>
      <c r="J27" s="116"/>
      <c r="K27" s="116"/>
      <c r="L27" s="116"/>
      <c r="M27" s="116"/>
      <c r="N27" s="128">
        <f t="shared" si="2"/>
        <v>0</v>
      </c>
      <c r="O27" s="116">
        <f t="shared" si="0"/>
        <v>0</v>
      </c>
      <c r="P27" s="129"/>
    </row>
    <row r="28" spans="1:16" s="4" customFormat="1" ht="21" x14ac:dyDescent="0.45">
      <c r="A28" s="143"/>
      <c r="B28" s="143"/>
      <c r="C28" s="143"/>
      <c r="D28" s="129"/>
      <c r="E28" s="116"/>
      <c r="F28" s="116"/>
      <c r="G28" s="116"/>
      <c r="H28" s="116"/>
      <c r="I28" s="128"/>
      <c r="J28" s="116"/>
      <c r="K28" s="116"/>
      <c r="L28" s="116"/>
      <c r="M28" s="116"/>
      <c r="N28" s="128"/>
      <c r="O28" s="122"/>
      <c r="P28" s="129"/>
    </row>
    <row r="29" spans="1:16" s="4" customFormat="1" ht="44" customHeight="1" x14ac:dyDescent="0.45">
      <c r="A29" s="323" t="s">
        <v>46</v>
      </c>
      <c r="B29" s="323"/>
      <c r="C29" s="323"/>
      <c r="D29" s="128"/>
      <c r="E29" s="116"/>
      <c r="F29" s="116"/>
      <c r="G29" s="116"/>
      <c r="H29" s="116"/>
      <c r="I29" s="128"/>
      <c r="J29" s="116"/>
      <c r="K29" s="116"/>
      <c r="L29" s="116"/>
      <c r="M29" s="116"/>
      <c r="N29" s="128"/>
      <c r="O29" s="122"/>
      <c r="P29" s="128"/>
    </row>
    <row r="30" spans="1:16" s="4" customFormat="1" ht="21" x14ac:dyDescent="0.45">
      <c r="A30" s="323" t="s">
        <v>102</v>
      </c>
      <c r="B30" s="323"/>
      <c r="C30" s="323"/>
      <c r="D30" s="129"/>
      <c r="E30" s="116"/>
      <c r="F30" s="117"/>
      <c r="G30" s="116"/>
      <c r="H30" s="116"/>
      <c r="I30" s="136">
        <f>F30</f>
        <v>0</v>
      </c>
      <c r="J30" s="116"/>
      <c r="K30" s="123"/>
      <c r="L30" s="116"/>
      <c r="M30" s="116"/>
      <c r="N30" s="137">
        <f>K30</f>
        <v>0</v>
      </c>
      <c r="O30" s="122">
        <f t="shared" si="0"/>
        <v>0</v>
      </c>
      <c r="P30" s="129"/>
    </row>
    <row r="31" spans="1:16" s="4" customFormat="1" ht="21" x14ac:dyDescent="0.45">
      <c r="A31" s="143"/>
      <c r="B31" s="143"/>
      <c r="C31" s="143" t="s">
        <v>108</v>
      </c>
      <c r="D31" s="129"/>
      <c r="E31" s="116"/>
      <c r="F31" s="116"/>
      <c r="G31" s="116"/>
      <c r="H31" s="116"/>
      <c r="I31" s="128">
        <f t="shared" ref="I31:I41" si="3">F31</f>
        <v>0</v>
      </c>
      <c r="J31" s="116"/>
      <c r="K31" s="131"/>
      <c r="L31" s="116"/>
      <c r="M31" s="116"/>
      <c r="N31" s="128">
        <f t="shared" ref="N31:N41" si="4">K31</f>
        <v>0</v>
      </c>
      <c r="O31" s="116">
        <f t="shared" si="0"/>
        <v>0</v>
      </c>
      <c r="P31" s="129"/>
    </row>
    <row r="32" spans="1:16" s="4" customFormat="1" ht="21" x14ac:dyDescent="0.45">
      <c r="A32" s="323" t="s">
        <v>103</v>
      </c>
      <c r="B32" s="323"/>
      <c r="C32" s="323"/>
      <c r="D32" s="129"/>
      <c r="E32" s="116"/>
      <c r="F32" s="117"/>
      <c r="G32" s="116"/>
      <c r="H32" s="116"/>
      <c r="I32" s="136">
        <f t="shared" si="3"/>
        <v>0</v>
      </c>
      <c r="J32" s="116"/>
      <c r="K32" s="123"/>
      <c r="L32" s="116"/>
      <c r="M32" s="116"/>
      <c r="N32" s="137">
        <f t="shared" si="4"/>
        <v>0</v>
      </c>
      <c r="O32" s="122">
        <f t="shared" si="0"/>
        <v>0</v>
      </c>
      <c r="P32" s="129"/>
    </row>
    <row r="33" spans="1:16" s="4" customFormat="1" ht="21" x14ac:dyDescent="0.45">
      <c r="A33" s="143"/>
      <c r="B33" s="143"/>
      <c r="C33" s="143" t="s">
        <v>108</v>
      </c>
      <c r="D33" s="129"/>
      <c r="E33" s="116"/>
      <c r="F33" s="116"/>
      <c r="G33" s="116"/>
      <c r="H33" s="116"/>
      <c r="I33" s="128">
        <f t="shared" si="3"/>
        <v>0</v>
      </c>
      <c r="J33" s="116"/>
      <c r="K33" s="131"/>
      <c r="L33" s="116"/>
      <c r="M33" s="116"/>
      <c r="N33" s="128">
        <f t="shared" si="4"/>
        <v>0</v>
      </c>
      <c r="O33" s="116">
        <f t="shared" si="0"/>
        <v>0</v>
      </c>
      <c r="P33" s="129"/>
    </row>
    <row r="34" spans="1:16" s="4" customFormat="1" ht="21" x14ac:dyDescent="0.45">
      <c r="A34" s="323" t="s">
        <v>104</v>
      </c>
      <c r="B34" s="323"/>
      <c r="C34" s="323"/>
      <c r="D34" s="129"/>
      <c r="E34" s="116"/>
      <c r="F34" s="123"/>
      <c r="G34" s="116"/>
      <c r="H34" s="116"/>
      <c r="I34" s="136">
        <f t="shared" si="3"/>
        <v>0</v>
      </c>
      <c r="J34" s="116"/>
      <c r="K34" s="123"/>
      <c r="L34" s="116"/>
      <c r="M34" s="116"/>
      <c r="N34" s="137">
        <f t="shared" si="4"/>
        <v>0</v>
      </c>
      <c r="O34" s="122">
        <f t="shared" si="0"/>
        <v>0</v>
      </c>
      <c r="P34" s="129"/>
    </row>
    <row r="35" spans="1:16" s="4" customFormat="1" ht="21" x14ac:dyDescent="0.45">
      <c r="A35" s="143"/>
      <c r="B35" s="143"/>
      <c r="C35" s="143" t="s">
        <v>108</v>
      </c>
      <c r="D35" s="129"/>
      <c r="E35" s="116"/>
      <c r="F35" s="116"/>
      <c r="G35" s="116"/>
      <c r="H35" s="116"/>
      <c r="I35" s="128">
        <f t="shared" si="3"/>
        <v>0</v>
      </c>
      <c r="J35" s="116"/>
      <c r="K35" s="131"/>
      <c r="L35" s="116"/>
      <c r="M35" s="116"/>
      <c r="N35" s="128">
        <f t="shared" si="4"/>
        <v>0</v>
      </c>
      <c r="O35" s="116">
        <f t="shared" si="0"/>
        <v>0</v>
      </c>
      <c r="P35" s="129"/>
    </row>
    <row r="36" spans="1:16" s="4" customFormat="1" ht="21" x14ac:dyDescent="0.45">
      <c r="A36" s="323" t="s">
        <v>105</v>
      </c>
      <c r="B36" s="323"/>
      <c r="C36" s="323"/>
      <c r="D36" s="129"/>
      <c r="E36" s="116"/>
      <c r="F36" s="117"/>
      <c r="G36" s="116"/>
      <c r="H36" s="116"/>
      <c r="I36" s="136">
        <f t="shared" si="3"/>
        <v>0</v>
      </c>
      <c r="J36" s="116"/>
      <c r="K36" s="123"/>
      <c r="L36" s="116"/>
      <c r="M36" s="116"/>
      <c r="N36" s="137">
        <f t="shared" si="4"/>
        <v>0</v>
      </c>
      <c r="O36" s="122">
        <f t="shared" si="0"/>
        <v>0</v>
      </c>
      <c r="P36" s="129"/>
    </row>
    <row r="37" spans="1:16" s="4" customFormat="1" ht="21" x14ac:dyDescent="0.45">
      <c r="A37" s="143"/>
      <c r="B37" s="143"/>
      <c r="C37" s="143" t="s">
        <v>108</v>
      </c>
      <c r="D37" s="129"/>
      <c r="E37" s="116"/>
      <c r="F37" s="116"/>
      <c r="G37" s="116"/>
      <c r="H37" s="116"/>
      <c r="I37" s="128">
        <f t="shared" si="3"/>
        <v>0</v>
      </c>
      <c r="J37" s="116"/>
      <c r="K37" s="131"/>
      <c r="L37" s="116"/>
      <c r="M37" s="116"/>
      <c r="N37" s="128">
        <f t="shared" si="4"/>
        <v>0</v>
      </c>
      <c r="O37" s="116">
        <f t="shared" si="0"/>
        <v>0</v>
      </c>
      <c r="P37" s="129"/>
    </row>
    <row r="38" spans="1:16" s="4" customFormat="1" ht="21" x14ac:dyDescent="0.45">
      <c r="A38" s="323" t="s">
        <v>106</v>
      </c>
      <c r="B38" s="323"/>
      <c r="C38" s="323"/>
      <c r="D38" s="129"/>
      <c r="E38" s="116"/>
      <c r="F38" s="117"/>
      <c r="G38" s="116"/>
      <c r="H38" s="116"/>
      <c r="I38" s="136">
        <f t="shared" si="3"/>
        <v>0</v>
      </c>
      <c r="J38" s="116"/>
      <c r="K38" s="123"/>
      <c r="L38" s="116"/>
      <c r="M38" s="116"/>
      <c r="N38" s="137">
        <f t="shared" si="4"/>
        <v>0</v>
      </c>
      <c r="O38" s="122">
        <f t="shared" si="0"/>
        <v>0</v>
      </c>
      <c r="P38" s="129"/>
    </row>
    <row r="39" spans="1:16" s="4" customFormat="1" ht="21" x14ac:dyDescent="0.45">
      <c r="A39" s="143"/>
      <c r="B39" s="143"/>
      <c r="C39" s="143" t="s">
        <v>108</v>
      </c>
      <c r="D39" s="129"/>
      <c r="E39" s="116"/>
      <c r="F39" s="116"/>
      <c r="G39" s="116"/>
      <c r="H39" s="116"/>
      <c r="I39" s="128">
        <f t="shared" si="3"/>
        <v>0</v>
      </c>
      <c r="J39" s="116"/>
      <c r="K39" s="131"/>
      <c r="L39" s="116"/>
      <c r="M39" s="116"/>
      <c r="N39" s="128">
        <f t="shared" si="4"/>
        <v>0</v>
      </c>
      <c r="O39" s="116">
        <f t="shared" si="0"/>
        <v>0</v>
      </c>
      <c r="P39" s="129"/>
    </row>
    <row r="40" spans="1:16" s="4" customFormat="1" ht="21" x14ac:dyDescent="0.45">
      <c r="A40" s="323" t="s">
        <v>111</v>
      </c>
      <c r="B40" s="323"/>
      <c r="C40" s="323"/>
      <c r="D40" s="129"/>
      <c r="E40" s="116"/>
      <c r="F40" s="123"/>
      <c r="G40" s="116"/>
      <c r="H40" s="116"/>
      <c r="I40" s="136">
        <f t="shared" si="3"/>
        <v>0</v>
      </c>
      <c r="J40" s="116"/>
      <c r="K40" s="123"/>
      <c r="L40" s="116"/>
      <c r="M40" s="116"/>
      <c r="N40" s="137">
        <f t="shared" si="4"/>
        <v>0</v>
      </c>
      <c r="O40" s="122">
        <f t="shared" si="0"/>
        <v>0</v>
      </c>
      <c r="P40" s="129"/>
    </row>
    <row r="41" spans="1:16" s="4" customFormat="1" ht="21" x14ac:dyDescent="0.45">
      <c r="A41" s="143"/>
      <c r="B41" s="143"/>
      <c r="C41" s="143" t="s">
        <v>108</v>
      </c>
      <c r="D41" s="129"/>
      <c r="E41" s="116"/>
      <c r="F41" s="116"/>
      <c r="G41" s="116"/>
      <c r="H41" s="116"/>
      <c r="I41" s="128">
        <f t="shared" si="3"/>
        <v>0</v>
      </c>
      <c r="J41" s="116"/>
      <c r="K41" s="131"/>
      <c r="L41" s="116"/>
      <c r="M41" s="116"/>
      <c r="N41" s="128">
        <f t="shared" si="4"/>
        <v>0</v>
      </c>
      <c r="O41" s="116">
        <f t="shared" si="0"/>
        <v>0</v>
      </c>
      <c r="P41" s="129"/>
    </row>
    <row r="42" spans="1:16" s="4" customFormat="1" ht="21" x14ac:dyDescent="0.45">
      <c r="A42" s="143"/>
      <c r="B42" s="143"/>
      <c r="C42" s="143"/>
      <c r="D42" s="129"/>
      <c r="E42" s="116"/>
      <c r="F42" s="116"/>
      <c r="G42" s="116"/>
      <c r="H42" s="116"/>
      <c r="I42" s="128"/>
      <c r="J42" s="116"/>
      <c r="K42" s="116"/>
      <c r="L42" s="116"/>
      <c r="M42" s="116"/>
      <c r="N42" s="128"/>
      <c r="O42" s="122"/>
      <c r="P42" s="129"/>
    </row>
    <row r="43" spans="1:16" s="4" customFormat="1" ht="65.5" customHeight="1" x14ac:dyDescent="0.45">
      <c r="A43" s="323" t="s">
        <v>52</v>
      </c>
      <c r="B43" s="323"/>
      <c r="C43" s="323"/>
      <c r="D43" s="128"/>
      <c r="E43" s="116"/>
      <c r="F43" s="116"/>
      <c r="G43" s="116"/>
      <c r="H43" s="116"/>
      <c r="I43" s="128"/>
      <c r="J43" s="116"/>
      <c r="K43" s="116"/>
      <c r="L43" s="116"/>
      <c r="M43" s="116"/>
      <c r="N43" s="128"/>
      <c r="O43" s="122"/>
      <c r="P43" s="128"/>
    </row>
    <row r="44" spans="1:16" s="4" customFormat="1" ht="21" x14ac:dyDescent="0.45">
      <c r="A44" s="323" t="s">
        <v>56</v>
      </c>
      <c r="B44" s="323"/>
      <c r="C44" s="323"/>
      <c r="D44" s="129"/>
      <c r="E44" s="116"/>
      <c r="F44" s="116"/>
      <c r="G44" s="116"/>
      <c r="H44" s="117"/>
      <c r="I44" s="136">
        <f>H44</f>
        <v>0</v>
      </c>
      <c r="J44" s="116"/>
      <c r="K44" s="116"/>
      <c r="L44" s="116"/>
      <c r="M44" s="117"/>
      <c r="N44" s="136">
        <f>M44</f>
        <v>0</v>
      </c>
      <c r="O44" s="122">
        <f t="shared" si="0"/>
        <v>0</v>
      </c>
      <c r="P44" s="129"/>
    </row>
    <row r="45" spans="1:16" s="4" customFormat="1" ht="21" x14ac:dyDescent="0.45">
      <c r="A45" s="143"/>
      <c r="B45" s="143"/>
      <c r="C45" s="143" t="s">
        <v>108</v>
      </c>
      <c r="D45" s="129"/>
      <c r="E45" s="116"/>
      <c r="F45" s="116"/>
      <c r="G45" s="116"/>
      <c r="H45" s="116"/>
      <c r="I45" s="128">
        <f t="shared" ref="I45:I49" si="5">H45</f>
        <v>0</v>
      </c>
      <c r="J45" s="116"/>
      <c r="K45" s="116"/>
      <c r="L45" s="116"/>
      <c r="M45" s="116"/>
      <c r="N45" s="128">
        <f t="shared" ref="N45:N49" si="6">M45</f>
        <v>0</v>
      </c>
      <c r="O45" s="116">
        <f t="shared" si="0"/>
        <v>0</v>
      </c>
      <c r="P45" s="129"/>
    </row>
    <row r="46" spans="1:16" s="4" customFormat="1" ht="21" x14ac:dyDescent="0.45">
      <c r="A46" s="323" t="s">
        <v>57</v>
      </c>
      <c r="B46" s="323"/>
      <c r="C46" s="323"/>
      <c r="D46" s="129"/>
      <c r="E46" s="116"/>
      <c r="F46" s="116"/>
      <c r="G46" s="116"/>
      <c r="H46" s="117"/>
      <c r="I46" s="136">
        <f t="shared" si="5"/>
        <v>0</v>
      </c>
      <c r="J46" s="116"/>
      <c r="K46" s="116"/>
      <c r="L46" s="116"/>
      <c r="M46" s="117"/>
      <c r="N46" s="136">
        <f t="shared" si="6"/>
        <v>0</v>
      </c>
      <c r="O46" s="122">
        <f t="shared" si="0"/>
        <v>0</v>
      </c>
      <c r="P46" s="129"/>
    </row>
    <row r="47" spans="1:16" s="4" customFormat="1" ht="21" x14ac:dyDescent="0.45">
      <c r="A47" s="143"/>
      <c r="B47" s="143"/>
      <c r="C47" s="143" t="s">
        <v>108</v>
      </c>
      <c r="D47" s="129"/>
      <c r="E47" s="116"/>
      <c r="F47" s="116"/>
      <c r="G47" s="116"/>
      <c r="H47" s="116"/>
      <c r="I47" s="128">
        <f t="shared" si="5"/>
        <v>0</v>
      </c>
      <c r="J47" s="116"/>
      <c r="K47" s="116"/>
      <c r="L47" s="116"/>
      <c r="M47" s="116"/>
      <c r="N47" s="128">
        <f t="shared" si="6"/>
        <v>0</v>
      </c>
      <c r="O47" s="116">
        <f t="shared" si="0"/>
        <v>0</v>
      </c>
      <c r="P47" s="129"/>
    </row>
    <row r="48" spans="1:16" s="4" customFormat="1" ht="21" x14ac:dyDescent="0.45">
      <c r="A48" s="323" t="s">
        <v>58</v>
      </c>
      <c r="B48" s="323"/>
      <c r="C48" s="323"/>
      <c r="D48" s="129"/>
      <c r="E48" s="116"/>
      <c r="F48" s="116"/>
      <c r="G48" s="116"/>
      <c r="H48" s="117"/>
      <c r="I48" s="136">
        <f t="shared" si="5"/>
        <v>0</v>
      </c>
      <c r="J48" s="116"/>
      <c r="K48" s="116"/>
      <c r="L48" s="116"/>
      <c r="M48" s="117"/>
      <c r="N48" s="136">
        <f t="shared" si="6"/>
        <v>0</v>
      </c>
      <c r="O48" s="122">
        <f t="shared" si="0"/>
        <v>0</v>
      </c>
      <c r="P48" s="129"/>
    </row>
    <row r="49" spans="1:16" s="4" customFormat="1" ht="21" x14ac:dyDescent="0.45">
      <c r="A49" s="143"/>
      <c r="B49" s="143"/>
      <c r="C49" s="143" t="s">
        <v>108</v>
      </c>
      <c r="D49" s="129"/>
      <c r="E49" s="116"/>
      <c r="F49" s="116"/>
      <c r="G49" s="116"/>
      <c r="H49" s="116"/>
      <c r="I49" s="128">
        <f t="shared" si="5"/>
        <v>0</v>
      </c>
      <c r="J49" s="116"/>
      <c r="K49" s="116"/>
      <c r="L49" s="116"/>
      <c r="M49" s="116"/>
      <c r="N49" s="128">
        <f t="shared" si="6"/>
        <v>0</v>
      </c>
      <c r="O49" s="116">
        <f t="shared" si="0"/>
        <v>0</v>
      </c>
      <c r="P49" s="129"/>
    </row>
    <row r="50" spans="1:16" s="4" customFormat="1" ht="21" x14ac:dyDescent="0.45">
      <c r="A50" s="317"/>
      <c r="B50" s="317"/>
      <c r="C50" s="317"/>
      <c r="D50" s="129"/>
      <c r="E50" s="116"/>
      <c r="F50" s="116"/>
      <c r="G50" s="116"/>
      <c r="H50" s="116"/>
      <c r="I50" s="128"/>
      <c r="J50" s="116"/>
      <c r="K50" s="116"/>
      <c r="L50" s="116"/>
      <c r="M50" s="116"/>
      <c r="N50" s="128"/>
      <c r="O50" s="122"/>
      <c r="P50" s="129"/>
    </row>
    <row r="51" spans="1:16" s="4" customFormat="1" ht="20" x14ac:dyDescent="0.4">
      <c r="A51" s="325" t="s">
        <v>59</v>
      </c>
      <c r="B51" s="325"/>
      <c r="C51" s="325"/>
      <c r="D51" s="129"/>
      <c r="E51" s="116"/>
      <c r="F51" s="116"/>
      <c r="G51" s="116"/>
      <c r="H51" s="116"/>
      <c r="I51" s="128"/>
      <c r="J51" s="116"/>
      <c r="K51" s="116"/>
      <c r="L51" s="116"/>
      <c r="M51" s="116"/>
      <c r="N51" s="128"/>
      <c r="O51" s="122"/>
      <c r="P51" s="129"/>
    </row>
    <row r="52" spans="1:16" s="4" customFormat="1" ht="21" x14ac:dyDescent="0.45">
      <c r="A52" s="323" t="s">
        <v>67</v>
      </c>
      <c r="B52" s="323"/>
      <c r="C52" s="323"/>
      <c r="D52" s="129"/>
      <c r="E52" s="116"/>
      <c r="F52" s="116"/>
      <c r="G52" s="116"/>
      <c r="H52" s="116"/>
      <c r="I52" s="128"/>
      <c r="J52" s="116"/>
      <c r="K52" s="116"/>
      <c r="L52" s="116"/>
      <c r="M52" s="116"/>
      <c r="N52" s="128"/>
      <c r="O52" s="122"/>
      <c r="P52" s="129"/>
    </row>
    <row r="53" spans="1:16" s="4" customFormat="1" ht="21" x14ac:dyDescent="0.45">
      <c r="A53" s="323" t="s">
        <v>68</v>
      </c>
      <c r="B53" s="323"/>
      <c r="C53" s="323"/>
      <c r="D53" s="129"/>
      <c r="E53" s="116"/>
      <c r="F53" s="116"/>
      <c r="G53" s="116"/>
      <c r="H53" s="116"/>
      <c r="I53" s="128">
        <f>SUM(G53:H53)</f>
        <v>0</v>
      </c>
      <c r="J53" s="116"/>
      <c r="K53" s="116"/>
      <c r="L53" s="116"/>
      <c r="M53" s="116"/>
      <c r="N53" s="128">
        <f>SUM(L53:M53)</f>
        <v>0</v>
      </c>
      <c r="O53" s="116">
        <f t="shared" si="0"/>
        <v>0</v>
      </c>
      <c r="P53" s="129"/>
    </row>
    <row r="54" spans="1:16" s="4" customFormat="1" ht="21" x14ac:dyDescent="0.45">
      <c r="A54" s="323" t="s">
        <v>69</v>
      </c>
      <c r="B54" s="323"/>
      <c r="C54" s="323"/>
      <c r="D54" s="129"/>
      <c r="E54" s="119"/>
      <c r="F54" s="119"/>
      <c r="G54" s="119"/>
      <c r="H54" s="119"/>
      <c r="I54" s="128">
        <f>SUM(G54:H54)</f>
        <v>0</v>
      </c>
      <c r="J54" s="119"/>
      <c r="K54" s="119"/>
      <c r="L54" s="119"/>
      <c r="M54" s="119"/>
      <c r="N54" s="128">
        <f>SUM(L54:M54)</f>
        <v>0</v>
      </c>
      <c r="O54" s="116">
        <f t="shared" si="0"/>
        <v>0</v>
      </c>
      <c r="P54" s="129"/>
    </row>
    <row r="55" spans="1:16" s="4" customFormat="1" ht="44" customHeight="1" x14ac:dyDescent="0.45">
      <c r="A55" s="323" t="s">
        <v>66</v>
      </c>
      <c r="B55" s="323"/>
      <c r="C55" s="323"/>
      <c r="D55" s="128"/>
      <c r="E55" s="116"/>
      <c r="F55" s="120"/>
      <c r="G55" s="120"/>
      <c r="H55" s="120"/>
      <c r="I55" s="120">
        <f>SUM(E55:H55)</f>
        <v>0</v>
      </c>
      <c r="J55" s="116"/>
      <c r="K55" s="120"/>
      <c r="L55" s="120"/>
      <c r="M55" s="120"/>
      <c r="N55" s="120">
        <f>SUM(J55:M55)</f>
        <v>0</v>
      </c>
      <c r="O55" s="116">
        <f t="shared" si="0"/>
        <v>0</v>
      </c>
      <c r="P55" s="128"/>
    </row>
    <row r="56" spans="1:16" s="4" customFormat="1" ht="21" x14ac:dyDescent="0.45">
      <c r="A56" s="143"/>
      <c r="B56" s="143"/>
      <c r="C56" s="143"/>
      <c r="D56" s="128"/>
      <c r="E56" s="116"/>
      <c r="F56" s="116"/>
      <c r="G56" s="116"/>
      <c r="H56" s="116"/>
      <c r="I56" s="128"/>
      <c r="J56" s="116"/>
      <c r="K56" s="116"/>
      <c r="L56" s="116"/>
      <c r="M56" s="116"/>
      <c r="N56" s="128"/>
      <c r="O56" s="122"/>
      <c r="P56" s="128"/>
    </row>
    <row r="57" spans="1:16" s="4" customFormat="1" ht="38" customHeight="1" x14ac:dyDescent="0.45">
      <c r="A57" s="323" t="s">
        <v>70</v>
      </c>
      <c r="B57" s="323"/>
      <c r="C57" s="323"/>
      <c r="D57" s="129"/>
      <c r="E57" s="116"/>
      <c r="F57" s="116"/>
      <c r="G57" s="116"/>
      <c r="H57" s="116"/>
      <c r="I57" s="128"/>
      <c r="J57" s="116"/>
      <c r="K57" s="116"/>
      <c r="L57" s="116"/>
      <c r="M57" s="116"/>
      <c r="N57" s="128"/>
      <c r="O57" s="122"/>
      <c r="P57" s="129"/>
    </row>
    <row r="58" spans="1:16" s="4" customFormat="1" ht="21" x14ac:dyDescent="0.45">
      <c r="A58" s="323" t="s">
        <v>74</v>
      </c>
      <c r="B58" s="323"/>
      <c r="C58" s="323"/>
      <c r="D58" s="129"/>
      <c r="E58" s="120"/>
      <c r="F58" s="120"/>
      <c r="G58" s="120"/>
      <c r="H58" s="120"/>
      <c r="I58" s="138">
        <f>SUM(E58:H58)</f>
        <v>0</v>
      </c>
      <c r="J58" s="120"/>
      <c r="K58" s="120"/>
      <c r="L58" s="120"/>
      <c r="M58" s="120"/>
      <c r="N58" s="138">
        <f>SUM(J58:M58)</f>
        <v>0</v>
      </c>
      <c r="O58" s="116">
        <f t="shared" si="0"/>
        <v>0</v>
      </c>
      <c r="P58" s="129"/>
    </row>
    <row r="59" spans="1:16" s="4" customFormat="1" ht="21" x14ac:dyDescent="0.45">
      <c r="A59" s="323" t="s">
        <v>71</v>
      </c>
      <c r="B59" s="323"/>
      <c r="C59" s="323"/>
      <c r="D59" s="129"/>
      <c r="E59" s="120"/>
      <c r="F59" s="120"/>
      <c r="G59" s="120"/>
      <c r="H59" s="120"/>
      <c r="I59" s="138">
        <f t="shared" ref="I59:I60" si="7">SUM(E59:H59)</f>
        <v>0</v>
      </c>
      <c r="J59" s="120"/>
      <c r="K59" s="120"/>
      <c r="L59" s="120"/>
      <c r="M59" s="120"/>
      <c r="N59" s="138">
        <f t="shared" ref="N59:N60" si="8">SUM(J59:M59)</f>
        <v>0</v>
      </c>
      <c r="O59" s="116">
        <f t="shared" si="0"/>
        <v>0</v>
      </c>
      <c r="P59" s="129"/>
    </row>
    <row r="60" spans="1:16" s="4" customFormat="1" ht="21" x14ac:dyDescent="0.45">
      <c r="A60" s="323" t="s">
        <v>72</v>
      </c>
      <c r="B60" s="323"/>
      <c r="C60" s="323"/>
      <c r="D60" s="129"/>
      <c r="E60" s="116"/>
      <c r="F60" s="116"/>
      <c r="G60" s="116"/>
      <c r="H60" s="116"/>
      <c r="I60" s="138">
        <f t="shared" si="7"/>
        <v>0</v>
      </c>
      <c r="J60" s="116"/>
      <c r="K60" s="116"/>
      <c r="L60" s="116"/>
      <c r="M60" s="116"/>
      <c r="N60" s="138">
        <f t="shared" si="8"/>
        <v>0</v>
      </c>
      <c r="O60" s="116">
        <f t="shared" si="0"/>
        <v>0</v>
      </c>
      <c r="P60" s="129"/>
    </row>
    <row r="61" spans="1:16" s="4" customFormat="1" ht="21" x14ac:dyDescent="0.45">
      <c r="A61" s="317"/>
      <c r="B61" s="317"/>
      <c r="C61" s="317"/>
      <c r="D61" s="129"/>
      <c r="E61" s="116"/>
      <c r="F61" s="116"/>
      <c r="G61" s="116"/>
      <c r="H61" s="116"/>
      <c r="I61" s="138"/>
      <c r="J61" s="116"/>
      <c r="K61" s="116"/>
      <c r="L61" s="116"/>
      <c r="M61" s="116"/>
      <c r="N61" s="138"/>
      <c r="O61" s="116"/>
      <c r="P61" s="129"/>
    </row>
    <row r="62" spans="1:16" s="4" customFormat="1" ht="37" customHeight="1" x14ac:dyDescent="0.45">
      <c r="A62" s="323" t="s">
        <v>73</v>
      </c>
      <c r="B62" s="323"/>
      <c r="C62" s="323"/>
      <c r="D62" s="129"/>
      <c r="E62" s="116"/>
      <c r="F62" s="116"/>
      <c r="G62" s="116"/>
      <c r="H62" s="116"/>
      <c r="I62" s="138">
        <f>SUM(E62:H62)</f>
        <v>0</v>
      </c>
      <c r="J62" s="116"/>
      <c r="K62" s="116"/>
      <c r="L62" s="116"/>
      <c r="M62" s="116"/>
      <c r="N62" s="138">
        <f>SUM(J62:M62)</f>
        <v>0</v>
      </c>
      <c r="O62" s="116">
        <f t="shared" si="0"/>
        <v>0</v>
      </c>
      <c r="P62" s="129"/>
    </row>
    <row r="63" spans="1:16" x14ac:dyDescent="0.3">
      <c r="A63" s="215"/>
      <c r="B63" s="215"/>
      <c r="C63" s="215"/>
    </row>
    <row r="64" spans="1:16" x14ac:dyDescent="0.3">
      <c r="A64" s="268" t="s">
        <v>34</v>
      </c>
      <c r="B64" s="268"/>
      <c r="C64" s="268"/>
      <c r="H64" s="268" t="s">
        <v>35</v>
      </c>
      <c r="I64" s="268"/>
      <c r="J64" s="268"/>
      <c r="M64" s="268" t="s">
        <v>14</v>
      </c>
      <c r="N64" s="268"/>
      <c r="O64" s="268"/>
    </row>
    <row r="65" spans="1:16" x14ac:dyDescent="0.3">
      <c r="A65" s="215"/>
      <c r="B65" s="215"/>
      <c r="C65" s="215"/>
      <c r="H65" s="215"/>
      <c r="I65" s="215"/>
      <c r="J65" s="215"/>
      <c r="M65" s="215"/>
      <c r="N65" s="215"/>
      <c r="O65" s="215"/>
    </row>
    <row r="66" spans="1:16" x14ac:dyDescent="0.3">
      <c r="A66" s="307"/>
      <c r="B66" s="307"/>
      <c r="C66" s="307"/>
      <c r="H66" s="307"/>
      <c r="I66" s="307"/>
      <c r="J66" s="307"/>
      <c r="M66" s="307"/>
      <c r="N66" s="307"/>
      <c r="O66" s="307"/>
    </row>
    <row r="67" spans="1:16" x14ac:dyDescent="0.3">
      <c r="A67" s="209"/>
      <c r="B67" s="209"/>
      <c r="C67" s="209"/>
      <c r="H67" s="209"/>
      <c r="I67" s="209"/>
      <c r="J67" s="209"/>
      <c r="M67" s="1" t="s">
        <v>33</v>
      </c>
      <c r="N67" s="1"/>
      <c r="O67" s="1"/>
      <c r="P67" s="3"/>
    </row>
    <row r="68" spans="1:16" x14ac:dyDescent="0.3">
      <c r="A68" s="267" t="s">
        <v>13</v>
      </c>
      <c r="B68" s="267"/>
      <c r="C68" s="267"/>
      <c r="H68" s="30" t="s">
        <v>13</v>
      </c>
      <c r="M68" s="267" t="s">
        <v>13</v>
      </c>
      <c r="N68" s="267"/>
      <c r="O68" s="267"/>
      <c r="P68" s="267"/>
    </row>
  </sheetData>
  <mergeCells count="59">
    <mergeCell ref="A68:C68"/>
    <mergeCell ref="M68:P68"/>
    <mergeCell ref="A63:C63"/>
    <mergeCell ref="A64:C64"/>
    <mergeCell ref="H64:J64"/>
    <mergeCell ref="M64:O64"/>
    <mergeCell ref="A65:C65"/>
    <mergeCell ref="H65:J65"/>
    <mergeCell ref="M65:O65"/>
    <mergeCell ref="A66:C66"/>
    <mergeCell ref="H66:J66"/>
    <mergeCell ref="M66:O66"/>
    <mergeCell ref="A67:C67"/>
    <mergeCell ref="H67:J67"/>
    <mergeCell ref="A62:C62"/>
    <mergeCell ref="A50:C50"/>
    <mergeCell ref="A51:C51"/>
    <mergeCell ref="A52:C52"/>
    <mergeCell ref="A53:C53"/>
    <mergeCell ref="A54:C54"/>
    <mergeCell ref="A55:C55"/>
    <mergeCell ref="A57:C57"/>
    <mergeCell ref="A58:C58"/>
    <mergeCell ref="A59:C59"/>
    <mergeCell ref="A60:C60"/>
    <mergeCell ref="A61:C61"/>
    <mergeCell ref="A48:C48"/>
    <mergeCell ref="A26:C26"/>
    <mergeCell ref="A29:C29"/>
    <mergeCell ref="A30:C30"/>
    <mergeCell ref="A32:C32"/>
    <mergeCell ref="A34:C34"/>
    <mergeCell ref="A36:C36"/>
    <mergeCell ref="A38:C38"/>
    <mergeCell ref="A40:C40"/>
    <mergeCell ref="A43:C43"/>
    <mergeCell ref="A44:C44"/>
    <mergeCell ref="A46:C46"/>
    <mergeCell ref="A17:C17"/>
    <mergeCell ref="A18:C18"/>
    <mergeCell ref="A19:C19"/>
    <mergeCell ref="A20:C20"/>
    <mergeCell ref="A24:C24"/>
    <mergeCell ref="O13:O14"/>
    <mergeCell ref="P13:P14"/>
    <mergeCell ref="A15:C15"/>
    <mergeCell ref="A16:C16"/>
    <mergeCell ref="C10:D10"/>
    <mergeCell ref="C11:D11"/>
    <mergeCell ref="A13:C14"/>
    <mergeCell ref="D13:D14"/>
    <mergeCell ref="E13:I13"/>
    <mergeCell ref="J13:N13"/>
    <mergeCell ref="C9:D9"/>
    <mergeCell ref="O1:P1"/>
    <mergeCell ref="O2:P2"/>
    <mergeCell ref="E4:J4"/>
    <mergeCell ref="E5:J5"/>
    <mergeCell ref="C8:D8"/>
  </mergeCells>
  <pageMargins left="0.25" right="0.25" top="0.75" bottom="0.75" header="0.3" footer="0.3"/>
  <pageSetup paperSize="9" scale="51" fitToWidth="0" fitToHeight="0" orientation="landscape" r:id="rId1"/>
  <rowBreaks count="1" manualBreakCount="1">
    <brk id="42" max="16383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330E-4218-4DD9-AD3A-9889331877F4}">
  <sheetPr>
    <pageSetUpPr fitToPage="1"/>
  </sheetPr>
  <dimension ref="A1:P43"/>
  <sheetViews>
    <sheetView view="pageBreakPreview" zoomScale="60" zoomScaleNormal="92" workbookViewId="0">
      <selection activeCell="A38" sqref="A38:XFD76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116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x14ac:dyDescent="0.3">
      <c r="A15" s="322">
        <v>1</v>
      </c>
      <c r="B15" s="322"/>
      <c r="C15" s="322"/>
      <c r="D15" s="113">
        <v>2</v>
      </c>
      <c r="E15" s="113">
        <v>3</v>
      </c>
      <c r="F15" s="113">
        <v>4</v>
      </c>
      <c r="G15" s="113">
        <v>5</v>
      </c>
      <c r="H15" s="114">
        <v>6</v>
      </c>
      <c r="I15" s="113" t="s">
        <v>21</v>
      </c>
      <c r="J15" s="113">
        <v>8</v>
      </c>
      <c r="K15" s="113">
        <v>9</v>
      </c>
      <c r="L15" s="113">
        <v>10</v>
      </c>
      <c r="M15" s="113">
        <v>11</v>
      </c>
      <c r="N15" s="113" t="s">
        <v>22</v>
      </c>
      <c r="O15" s="113">
        <v>13</v>
      </c>
      <c r="P15" s="113">
        <v>14</v>
      </c>
    </row>
    <row r="16" spans="1:16" s="4" customFormat="1" ht="82.5" customHeight="1" x14ac:dyDescent="0.45">
      <c r="A16" s="323" t="s">
        <v>36</v>
      </c>
      <c r="B16" s="323"/>
      <c r="C16" s="323"/>
      <c r="D16" s="125"/>
      <c r="E16" s="115"/>
      <c r="F16" s="115"/>
      <c r="G16" s="115"/>
      <c r="H16" s="115"/>
      <c r="I16" s="126"/>
      <c r="J16" s="125"/>
      <c r="K16" s="125"/>
      <c r="L16" s="125"/>
      <c r="M16" s="125"/>
      <c r="N16" s="125"/>
      <c r="O16" s="125"/>
      <c r="P16" s="125"/>
    </row>
    <row r="17" spans="1:16" s="4" customFormat="1" ht="20" x14ac:dyDescent="0.4">
      <c r="A17" s="324" t="s">
        <v>42</v>
      </c>
      <c r="B17" s="324"/>
      <c r="C17" s="324"/>
      <c r="D17" s="139">
        <v>310300000000000</v>
      </c>
      <c r="E17" s="116"/>
      <c r="F17" s="116"/>
      <c r="G17" s="116"/>
      <c r="H17" s="116"/>
      <c r="I17" s="128"/>
      <c r="J17" s="116"/>
      <c r="K17" s="116"/>
      <c r="L17" s="116"/>
      <c r="M17" s="116"/>
      <c r="N17" s="128"/>
      <c r="O17" s="122"/>
      <c r="P17" s="129"/>
    </row>
    <row r="18" spans="1:16" s="4" customFormat="1" ht="21" x14ac:dyDescent="0.45">
      <c r="A18" s="323" t="s">
        <v>23</v>
      </c>
      <c r="B18" s="323"/>
      <c r="C18" s="323"/>
      <c r="D18" s="129"/>
      <c r="E18" s="116"/>
      <c r="F18" s="116"/>
      <c r="G18" s="116"/>
      <c r="H18" s="116"/>
      <c r="I18" s="128"/>
      <c r="J18" s="116"/>
      <c r="K18" s="116"/>
      <c r="L18" s="116"/>
      <c r="M18" s="116"/>
      <c r="N18" s="128"/>
      <c r="O18" s="122"/>
      <c r="P18" s="129"/>
    </row>
    <row r="19" spans="1:16" s="4" customFormat="1" ht="21" x14ac:dyDescent="0.45">
      <c r="A19" s="323" t="s">
        <v>77</v>
      </c>
      <c r="B19" s="323"/>
      <c r="C19" s="323"/>
      <c r="D19" s="128"/>
      <c r="E19" s="116"/>
      <c r="F19" s="116"/>
      <c r="G19" s="116"/>
      <c r="H19" s="116"/>
      <c r="I19" s="128"/>
      <c r="J19" s="116"/>
      <c r="K19" s="116"/>
      <c r="L19" s="116"/>
      <c r="M19" s="116"/>
      <c r="N19" s="128"/>
      <c r="O19" s="122"/>
      <c r="P19" s="128"/>
    </row>
    <row r="20" spans="1:16" s="4" customFormat="1" ht="21" x14ac:dyDescent="0.45">
      <c r="A20" s="323" t="s">
        <v>78</v>
      </c>
      <c r="B20" s="323"/>
      <c r="C20" s="323"/>
      <c r="D20" s="129"/>
      <c r="E20" s="116"/>
      <c r="F20" s="116"/>
      <c r="G20" s="116"/>
      <c r="H20" s="121"/>
      <c r="I20" s="140">
        <f>H20</f>
        <v>0</v>
      </c>
      <c r="J20" s="116"/>
      <c r="K20" s="116"/>
      <c r="L20" s="116"/>
      <c r="M20" s="121"/>
      <c r="N20" s="140">
        <f>M20</f>
        <v>0</v>
      </c>
      <c r="O20" s="122">
        <f t="shared" ref="O20:O36" si="0">N20-I20</f>
        <v>0</v>
      </c>
      <c r="P20" s="129"/>
    </row>
    <row r="21" spans="1:16" s="4" customFormat="1" ht="21" x14ac:dyDescent="0.45">
      <c r="A21" s="143"/>
      <c r="B21" s="143"/>
      <c r="C21" s="143" t="s">
        <v>108</v>
      </c>
      <c r="D21" s="129"/>
      <c r="E21" s="116"/>
      <c r="F21" s="116"/>
      <c r="G21" s="116"/>
      <c r="H21" s="120"/>
      <c r="I21" s="141">
        <f t="shared" ref="I21:I27" si="1">H21</f>
        <v>0</v>
      </c>
      <c r="J21" s="116"/>
      <c r="K21" s="116"/>
      <c r="L21" s="116"/>
      <c r="M21" s="120"/>
      <c r="N21" s="141">
        <f t="shared" ref="N21:N27" si="2">M21</f>
        <v>0</v>
      </c>
      <c r="O21" s="116">
        <f t="shared" si="0"/>
        <v>0</v>
      </c>
      <c r="P21" s="129"/>
    </row>
    <row r="22" spans="1:16" s="4" customFormat="1" ht="46" customHeight="1" x14ac:dyDescent="0.3">
      <c r="A22" s="318" t="s">
        <v>76</v>
      </c>
      <c r="B22" s="318"/>
      <c r="C22" s="318"/>
      <c r="D22" s="129"/>
      <c r="E22" s="116"/>
      <c r="F22" s="116"/>
      <c r="G22" s="116"/>
      <c r="H22" s="121"/>
      <c r="I22" s="140">
        <f t="shared" si="1"/>
        <v>0</v>
      </c>
      <c r="J22" s="116"/>
      <c r="K22" s="116"/>
      <c r="L22" s="116"/>
      <c r="M22" s="121"/>
      <c r="N22" s="140">
        <f t="shared" si="2"/>
        <v>0</v>
      </c>
      <c r="O22" s="122">
        <f t="shared" si="0"/>
        <v>0</v>
      </c>
      <c r="P22" s="129"/>
    </row>
    <row r="23" spans="1:16" s="4" customFormat="1" ht="21" x14ac:dyDescent="0.45">
      <c r="A23" s="143"/>
      <c r="B23" s="143"/>
      <c r="C23" s="143" t="s">
        <v>108</v>
      </c>
      <c r="D23" s="129"/>
      <c r="E23" s="116"/>
      <c r="F23" s="116"/>
      <c r="G23" s="116"/>
      <c r="H23" s="120"/>
      <c r="I23" s="141">
        <f t="shared" si="1"/>
        <v>0</v>
      </c>
      <c r="J23" s="116"/>
      <c r="K23" s="116"/>
      <c r="L23" s="116"/>
      <c r="M23" s="120"/>
      <c r="N23" s="141">
        <f t="shared" si="2"/>
        <v>0</v>
      </c>
      <c r="O23" s="116">
        <f t="shared" si="0"/>
        <v>0</v>
      </c>
      <c r="P23" s="129"/>
    </row>
    <row r="24" spans="1:16" s="4" customFormat="1" ht="45" customHeight="1" x14ac:dyDescent="0.45">
      <c r="A24" s="323" t="s">
        <v>79</v>
      </c>
      <c r="B24" s="323"/>
      <c r="C24" s="323"/>
      <c r="D24" s="129"/>
      <c r="E24" s="116"/>
      <c r="F24" s="116"/>
      <c r="G24" s="116"/>
      <c r="H24" s="121"/>
      <c r="I24" s="140">
        <f t="shared" si="1"/>
        <v>0</v>
      </c>
      <c r="J24" s="116"/>
      <c r="K24" s="116"/>
      <c r="L24" s="116"/>
      <c r="M24" s="121"/>
      <c r="N24" s="140">
        <f t="shared" si="2"/>
        <v>0</v>
      </c>
      <c r="O24" s="122">
        <f t="shared" si="0"/>
        <v>0</v>
      </c>
      <c r="P24" s="129"/>
    </row>
    <row r="25" spans="1:16" s="4" customFormat="1" ht="21" x14ac:dyDescent="0.45">
      <c r="A25" s="143"/>
      <c r="B25" s="143"/>
      <c r="C25" s="143" t="s">
        <v>108</v>
      </c>
      <c r="D25" s="129"/>
      <c r="E25" s="116"/>
      <c r="F25" s="116"/>
      <c r="G25" s="116"/>
      <c r="H25" s="120"/>
      <c r="I25" s="141">
        <f t="shared" si="1"/>
        <v>0</v>
      </c>
      <c r="J25" s="116"/>
      <c r="K25" s="116"/>
      <c r="L25" s="116"/>
      <c r="M25" s="120"/>
      <c r="N25" s="141">
        <f t="shared" si="2"/>
        <v>0</v>
      </c>
      <c r="O25" s="116">
        <f t="shared" si="0"/>
        <v>0</v>
      </c>
      <c r="P25" s="129"/>
    </row>
    <row r="26" spans="1:16" s="4" customFormat="1" ht="21" x14ac:dyDescent="0.45">
      <c r="A26" s="323" t="s">
        <v>81</v>
      </c>
      <c r="B26" s="323"/>
      <c r="C26" s="323"/>
      <c r="D26" s="129"/>
      <c r="E26" s="116"/>
      <c r="F26" s="116"/>
      <c r="G26" s="116"/>
      <c r="H26" s="121"/>
      <c r="I26" s="140">
        <f t="shared" si="1"/>
        <v>0</v>
      </c>
      <c r="J26" s="116"/>
      <c r="K26" s="116"/>
      <c r="L26" s="116"/>
      <c r="M26" s="121"/>
      <c r="N26" s="140">
        <f t="shared" si="2"/>
        <v>0</v>
      </c>
      <c r="O26" s="122">
        <f t="shared" si="0"/>
        <v>0</v>
      </c>
      <c r="P26" s="129"/>
    </row>
    <row r="27" spans="1:16" s="4" customFormat="1" ht="21" x14ac:dyDescent="0.45">
      <c r="A27" s="143"/>
      <c r="B27" s="143"/>
      <c r="C27" s="143" t="s">
        <v>108</v>
      </c>
      <c r="D27" s="129"/>
      <c r="E27" s="116"/>
      <c r="F27" s="116"/>
      <c r="G27" s="116"/>
      <c r="H27" s="120"/>
      <c r="I27" s="141">
        <f t="shared" si="1"/>
        <v>0</v>
      </c>
      <c r="J27" s="116"/>
      <c r="K27" s="116"/>
      <c r="L27" s="116"/>
      <c r="M27" s="120"/>
      <c r="N27" s="141">
        <f t="shared" si="2"/>
        <v>0</v>
      </c>
      <c r="O27" s="116">
        <f t="shared" si="0"/>
        <v>0</v>
      </c>
      <c r="P27" s="129"/>
    </row>
    <row r="28" spans="1:16" s="4" customFormat="1" ht="21" x14ac:dyDescent="0.45">
      <c r="A28" s="317"/>
      <c r="B28" s="317"/>
      <c r="C28" s="317"/>
      <c r="D28" s="129"/>
      <c r="E28" s="116"/>
      <c r="F28" s="116"/>
      <c r="G28" s="116"/>
      <c r="H28" s="120"/>
      <c r="I28" s="128"/>
      <c r="J28" s="116"/>
      <c r="K28" s="116"/>
      <c r="L28" s="116"/>
      <c r="M28" s="120"/>
      <c r="N28" s="128"/>
      <c r="O28" s="122"/>
      <c r="P28" s="129"/>
    </row>
    <row r="29" spans="1:16" s="4" customFormat="1" ht="38.5" customHeight="1" x14ac:dyDescent="0.45">
      <c r="A29" s="323" t="s">
        <v>80</v>
      </c>
      <c r="B29" s="323"/>
      <c r="C29" s="323"/>
      <c r="D29" s="128"/>
      <c r="E29" s="116"/>
      <c r="F29" s="116"/>
      <c r="G29" s="116"/>
      <c r="H29" s="122"/>
      <c r="I29" s="140">
        <f>H29</f>
        <v>0</v>
      </c>
      <c r="J29" s="116"/>
      <c r="K29" s="116"/>
      <c r="L29" s="116"/>
      <c r="M29" s="122"/>
      <c r="N29" s="140">
        <f>M29</f>
        <v>0</v>
      </c>
      <c r="O29" s="122">
        <f t="shared" si="0"/>
        <v>0</v>
      </c>
      <c r="P29" s="128"/>
    </row>
    <row r="30" spans="1:16" s="4" customFormat="1" ht="21" x14ac:dyDescent="0.45">
      <c r="A30" s="317"/>
      <c r="B30" s="317"/>
      <c r="C30" s="317"/>
      <c r="D30" s="129"/>
      <c r="E30" s="116"/>
      <c r="F30" s="116"/>
      <c r="G30" s="116"/>
      <c r="H30" s="116"/>
      <c r="I30" s="128"/>
      <c r="J30" s="116"/>
      <c r="K30" s="116"/>
      <c r="L30" s="116"/>
      <c r="M30" s="116"/>
      <c r="N30" s="128"/>
      <c r="O30" s="122"/>
      <c r="P30" s="129"/>
    </row>
    <row r="31" spans="1:16" s="4" customFormat="1" ht="21" x14ac:dyDescent="0.45">
      <c r="A31" s="323" t="s">
        <v>59</v>
      </c>
      <c r="B31" s="323"/>
      <c r="C31" s="323"/>
      <c r="D31" s="129"/>
      <c r="E31" s="116"/>
      <c r="F31" s="116"/>
      <c r="G31" s="116"/>
      <c r="H31" s="116"/>
      <c r="I31" s="128"/>
      <c r="J31" s="116"/>
      <c r="K31" s="116"/>
      <c r="L31" s="116"/>
      <c r="M31" s="116"/>
      <c r="N31" s="128"/>
      <c r="O31" s="122"/>
      <c r="P31" s="129"/>
    </row>
    <row r="32" spans="1:16" s="4" customFormat="1" ht="21" x14ac:dyDescent="0.45">
      <c r="A32" s="323" t="s">
        <v>82</v>
      </c>
      <c r="B32" s="323"/>
      <c r="C32" s="323"/>
      <c r="D32" s="129"/>
      <c r="E32" s="116"/>
      <c r="F32" s="116"/>
      <c r="G32" s="116"/>
      <c r="H32" s="116"/>
      <c r="I32" s="128"/>
      <c r="J32" s="116"/>
      <c r="K32" s="116"/>
      <c r="L32" s="116"/>
      <c r="M32" s="116"/>
      <c r="N32" s="128"/>
      <c r="O32" s="122"/>
      <c r="P32" s="129"/>
    </row>
    <row r="33" spans="1:16" s="4" customFormat="1" ht="21" x14ac:dyDescent="0.45">
      <c r="A33" s="323" t="s">
        <v>83</v>
      </c>
      <c r="B33" s="323"/>
      <c r="C33" s="323"/>
      <c r="D33" s="129"/>
      <c r="E33" s="116"/>
      <c r="F33" s="116"/>
      <c r="G33" s="116"/>
      <c r="H33" s="116"/>
      <c r="I33" s="128">
        <f>G33</f>
        <v>0</v>
      </c>
      <c r="J33" s="116"/>
      <c r="K33" s="116"/>
      <c r="L33" s="116"/>
      <c r="M33" s="116"/>
      <c r="N33" s="128">
        <f>L33</f>
        <v>0</v>
      </c>
      <c r="O33" s="116">
        <f t="shared" si="0"/>
        <v>0</v>
      </c>
      <c r="P33" s="129"/>
    </row>
    <row r="34" spans="1:16" s="4" customFormat="1" ht="21" x14ac:dyDescent="0.45">
      <c r="A34" s="323" t="s">
        <v>84</v>
      </c>
      <c r="B34" s="323"/>
      <c r="C34" s="323"/>
      <c r="D34" s="129"/>
      <c r="E34" s="116"/>
      <c r="F34" s="116"/>
      <c r="G34" s="116"/>
      <c r="H34" s="116"/>
      <c r="I34" s="128">
        <f t="shared" ref="I34:I37" si="3">G34</f>
        <v>0</v>
      </c>
      <c r="J34" s="116"/>
      <c r="K34" s="116"/>
      <c r="L34" s="116"/>
      <c r="M34" s="116"/>
      <c r="N34" s="128">
        <f t="shared" ref="N34:N37" si="4">L34</f>
        <v>0</v>
      </c>
      <c r="O34" s="116">
        <f t="shared" si="0"/>
        <v>0</v>
      </c>
      <c r="P34" s="129"/>
    </row>
    <row r="35" spans="1:16" s="4" customFormat="1" ht="21" x14ac:dyDescent="0.45">
      <c r="A35" s="323" t="s">
        <v>85</v>
      </c>
      <c r="B35" s="323"/>
      <c r="C35" s="323"/>
      <c r="D35" s="129"/>
      <c r="E35" s="116"/>
      <c r="F35" s="116"/>
      <c r="G35" s="116"/>
      <c r="H35" s="116"/>
      <c r="I35" s="128">
        <f t="shared" si="3"/>
        <v>0</v>
      </c>
      <c r="J35" s="116"/>
      <c r="K35" s="116"/>
      <c r="L35" s="116"/>
      <c r="M35" s="116"/>
      <c r="N35" s="128">
        <f t="shared" si="4"/>
        <v>0</v>
      </c>
      <c r="O35" s="116">
        <f t="shared" si="0"/>
        <v>0</v>
      </c>
      <c r="P35" s="129"/>
    </row>
    <row r="36" spans="1:16" s="4" customFormat="1" ht="38.5" customHeight="1" x14ac:dyDescent="0.3">
      <c r="A36" s="318" t="s">
        <v>112</v>
      </c>
      <c r="B36" s="318"/>
      <c r="C36" s="318"/>
      <c r="D36" s="129"/>
      <c r="E36" s="116"/>
      <c r="F36" s="116"/>
      <c r="G36" s="116"/>
      <c r="H36" s="116"/>
      <c r="I36" s="128">
        <f t="shared" si="3"/>
        <v>0</v>
      </c>
      <c r="J36" s="116"/>
      <c r="K36" s="116"/>
      <c r="L36" s="116"/>
      <c r="M36" s="116"/>
      <c r="N36" s="128">
        <f t="shared" si="4"/>
        <v>0</v>
      </c>
      <c r="O36" s="116">
        <f t="shared" si="0"/>
        <v>0</v>
      </c>
      <c r="P36" s="129"/>
    </row>
    <row r="37" spans="1:16" s="4" customFormat="1" ht="42.5" customHeight="1" x14ac:dyDescent="0.3">
      <c r="A37" s="318" t="s">
        <v>65</v>
      </c>
      <c r="B37" s="318"/>
      <c r="C37" s="318"/>
      <c r="D37" s="129"/>
      <c r="E37" s="116"/>
      <c r="F37" s="116"/>
      <c r="G37" s="123"/>
      <c r="H37" s="123"/>
      <c r="I37" s="128">
        <f t="shared" si="3"/>
        <v>0</v>
      </c>
      <c r="J37" s="116"/>
      <c r="K37" s="116"/>
      <c r="L37" s="123"/>
      <c r="M37" s="123"/>
      <c r="N37" s="128">
        <f t="shared" si="4"/>
        <v>0</v>
      </c>
      <c r="O37" s="116">
        <f t="shared" ref="O37" si="5">N37-I37</f>
        <v>0</v>
      </c>
      <c r="P37" s="129"/>
    </row>
    <row r="38" spans="1:16" x14ac:dyDescent="0.3">
      <c r="A38" s="215"/>
      <c r="B38" s="215"/>
      <c r="C38" s="215"/>
    </row>
    <row r="39" spans="1:16" x14ac:dyDescent="0.3">
      <c r="A39" s="268" t="s">
        <v>34</v>
      </c>
      <c r="B39" s="268"/>
      <c r="C39" s="268"/>
      <c r="H39" s="268" t="s">
        <v>35</v>
      </c>
      <c r="I39" s="268"/>
      <c r="J39" s="268"/>
      <c r="M39" s="268" t="s">
        <v>14</v>
      </c>
      <c r="N39" s="268"/>
      <c r="O39" s="268"/>
    </row>
    <row r="40" spans="1:16" x14ac:dyDescent="0.3">
      <c r="A40" s="215"/>
      <c r="B40" s="215"/>
      <c r="C40" s="215"/>
      <c r="H40" s="215"/>
      <c r="I40" s="215"/>
      <c r="J40" s="215"/>
      <c r="M40" s="215"/>
      <c r="N40" s="215"/>
      <c r="O40" s="215"/>
    </row>
    <row r="41" spans="1:16" x14ac:dyDescent="0.3">
      <c r="A41" s="307"/>
      <c r="B41" s="307"/>
      <c r="C41" s="307"/>
      <c r="H41" s="307"/>
      <c r="I41" s="307"/>
      <c r="J41" s="307"/>
      <c r="M41" s="307"/>
      <c r="N41" s="307"/>
      <c r="O41" s="307"/>
    </row>
    <row r="42" spans="1:16" x14ac:dyDescent="0.3">
      <c r="A42" s="209"/>
      <c r="B42" s="209"/>
      <c r="C42" s="209"/>
      <c r="H42" s="209"/>
      <c r="I42" s="209"/>
      <c r="J42" s="209"/>
      <c r="M42" s="1" t="s">
        <v>33</v>
      </c>
      <c r="N42" s="1"/>
      <c r="O42" s="1"/>
      <c r="P42" s="3"/>
    </row>
    <row r="43" spans="1:16" x14ac:dyDescent="0.3">
      <c r="A43" s="267" t="s">
        <v>13</v>
      </c>
      <c r="B43" s="267"/>
      <c r="C43" s="267"/>
      <c r="H43" s="30" t="s">
        <v>13</v>
      </c>
      <c r="M43" s="267" t="s">
        <v>13</v>
      </c>
      <c r="N43" s="267"/>
      <c r="O43" s="267"/>
      <c r="P43" s="267"/>
    </row>
  </sheetData>
  <mergeCells count="47">
    <mergeCell ref="A42:C42"/>
    <mergeCell ref="H42:J42"/>
    <mergeCell ref="A43:C43"/>
    <mergeCell ref="M43:P43"/>
    <mergeCell ref="H39:J39"/>
    <mergeCell ref="M39:O39"/>
    <mergeCell ref="A40:C40"/>
    <mergeCell ref="H40:J40"/>
    <mergeCell ref="M40:O40"/>
    <mergeCell ref="A41:C41"/>
    <mergeCell ref="H41:J41"/>
    <mergeCell ref="M41:O41"/>
    <mergeCell ref="A38:C38"/>
    <mergeCell ref="A39:C39"/>
    <mergeCell ref="A35:C35"/>
    <mergeCell ref="A36:C36"/>
    <mergeCell ref="A37:C37"/>
    <mergeCell ref="A34:C34"/>
    <mergeCell ref="A19:C19"/>
    <mergeCell ref="A20:C20"/>
    <mergeCell ref="A22:C22"/>
    <mergeCell ref="A24:C24"/>
    <mergeCell ref="A26:C26"/>
    <mergeCell ref="A28:C28"/>
    <mergeCell ref="A29:C29"/>
    <mergeCell ref="A30:C30"/>
    <mergeCell ref="A31:C31"/>
    <mergeCell ref="A32:C32"/>
    <mergeCell ref="A33:C33"/>
    <mergeCell ref="A17:C17"/>
    <mergeCell ref="A18:C18"/>
    <mergeCell ref="O13:O14"/>
    <mergeCell ref="P13:P14"/>
    <mergeCell ref="A15:C15"/>
    <mergeCell ref="A16:C16"/>
    <mergeCell ref="J13:N13"/>
    <mergeCell ref="C10:D10"/>
    <mergeCell ref="C11:D11"/>
    <mergeCell ref="A13:C14"/>
    <mergeCell ref="D13:D14"/>
    <mergeCell ref="E13:I13"/>
    <mergeCell ref="C9:D9"/>
    <mergeCell ref="O1:P1"/>
    <mergeCell ref="O2:P2"/>
    <mergeCell ref="E4:J4"/>
    <mergeCell ref="E5:J5"/>
    <mergeCell ref="C8:D8"/>
  </mergeCells>
  <pageMargins left="0.25" right="0.25" top="0.75" bottom="0.75" header="0.3" footer="0.3"/>
  <pageSetup paperSize="9" scale="49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058B-FB11-4E20-9FD2-11C769CA3BB6}">
  <sheetPr>
    <pageSetUpPr fitToPage="1"/>
  </sheetPr>
  <dimension ref="A1:P44"/>
  <sheetViews>
    <sheetView view="pageBreakPreview" zoomScale="60" zoomScaleNormal="92" workbookViewId="0">
      <selection activeCell="A39" sqref="A39:XFD54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116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x14ac:dyDescent="0.3">
      <c r="A15" s="322">
        <v>1</v>
      </c>
      <c r="B15" s="322"/>
      <c r="C15" s="322"/>
      <c r="D15" s="113">
        <v>2</v>
      </c>
      <c r="E15" s="113">
        <v>3</v>
      </c>
      <c r="F15" s="113">
        <v>4</v>
      </c>
      <c r="G15" s="113">
        <v>5</v>
      </c>
      <c r="H15" s="114">
        <v>6</v>
      </c>
      <c r="I15" s="113" t="s">
        <v>21</v>
      </c>
      <c r="J15" s="113">
        <v>8</v>
      </c>
      <c r="K15" s="113">
        <v>9</v>
      </c>
      <c r="L15" s="113">
        <v>10</v>
      </c>
      <c r="M15" s="113">
        <v>11</v>
      </c>
      <c r="N15" s="113" t="s">
        <v>22</v>
      </c>
      <c r="O15" s="113">
        <v>13</v>
      </c>
      <c r="P15" s="113">
        <v>14</v>
      </c>
    </row>
    <row r="16" spans="1:16" s="4" customFormat="1" ht="82.5" customHeight="1" x14ac:dyDescent="0.45">
      <c r="A16" s="323" t="s">
        <v>36</v>
      </c>
      <c r="B16" s="323"/>
      <c r="C16" s="323"/>
      <c r="D16" s="125"/>
      <c r="E16" s="115"/>
      <c r="F16" s="115"/>
      <c r="G16" s="115"/>
      <c r="H16" s="115"/>
      <c r="I16" s="126"/>
      <c r="J16" s="125"/>
      <c r="K16" s="125"/>
      <c r="L16" s="125"/>
      <c r="M16" s="125"/>
      <c r="N16" s="125"/>
      <c r="O16" s="125"/>
      <c r="P16" s="125"/>
    </row>
    <row r="17" spans="1:16" s="4" customFormat="1" ht="20" x14ac:dyDescent="0.4">
      <c r="A17" s="324" t="s">
        <v>41</v>
      </c>
      <c r="B17" s="324"/>
      <c r="C17" s="324"/>
      <c r="D17" s="139">
        <v>310400000000000</v>
      </c>
      <c r="E17" s="116"/>
      <c r="F17" s="116"/>
      <c r="G17" s="116"/>
      <c r="H17" s="116"/>
      <c r="I17" s="128"/>
      <c r="J17" s="129"/>
      <c r="K17" s="129"/>
      <c r="L17" s="129"/>
      <c r="M17" s="129"/>
      <c r="N17" s="129"/>
      <c r="O17" s="122"/>
      <c r="P17" s="129"/>
    </row>
    <row r="18" spans="1:16" s="4" customFormat="1" ht="21" x14ac:dyDescent="0.45">
      <c r="A18" s="323" t="s">
        <v>86</v>
      </c>
      <c r="B18" s="323"/>
      <c r="C18" s="323"/>
      <c r="D18" s="129"/>
      <c r="E18" s="116"/>
      <c r="F18" s="116"/>
      <c r="G18" s="116"/>
      <c r="H18" s="116"/>
      <c r="I18" s="128"/>
      <c r="J18" s="129"/>
      <c r="K18" s="129"/>
      <c r="L18" s="129"/>
      <c r="M18" s="129"/>
      <c r="N18" s="129"/>
      <c r="O18" s="122"/>
      <c r="P18" s="129"/>
    </row>
    <row r="19" spans="1:16" s="4" customFormat="1" ht="21" x14ac:dyDescent="0.45">
      <c r="A19" s="323" t="s">
        <v>87</v>
      </c>
      <c r="B19" s="323"/>
      <c r="C19" s="323"/>
      <c r="D19" s="128"/>
      <c r="E19" s="116"/>
      <c r="F19" s="116"/>
      <c r="G19" s="116"/>
      <c r="H19" s="116"/>
      <c r="I19" s="128"/>
      <c r="J19" s="128"/>
      <c r="K19" s="128"/>
      <c r="L19" s="128"/>
      <c r="M19" s="128"/>
      <c r="N19" s="128"/>
      <c r="O19" s="122"/>
      <c r="P19" s="128"/>
    </row>
    <row r="20" spans="1:16" s="4" customFormat="1" ht="21" x14ac:dyDescent="0.45">
      <c r="A20" s="323" t="s">
        <v>56</v>
      </c>
      <c r="B20" s="323"/>
      <c r="C20" s="323"/>
      <c r="D20" s="129"/>
      <c r="E20" s="116"/>
      <c r="F20" s="116"/>
      <c r="G20" s="116"/>
      <c r="H20" s="123"/>
      <c r="I20" s="137">
        <f>H20</f>
        <v>0</v>
      </c>
      <c r="J20" s="116"/>
      <c r="K20" s="116"/>
      <c r="L20" s="116"/>
      <c r="M20" s="142"/>
      <c r="N20" s="137">
        <f>M20</f>
        <v>0</v>
      </c>
      <c r="O20" s="122">
        <f t="shared" ref="O20:O38" si="0">N20-I20</f>
        <v>0</v>
      </c>
      <c r="P20" s="129"/>
    </row>
    <row r="21" spans="1:16" s="4" customFormat="1" ht="21" x14ac:dyDescent="0.45">
      <c r="A21" s="323" t="s">
        <v>88</v>
      </c>
      <c r="B21" s="323"/>
      <c r="C21" s="323"/>
      <c r="D21" s="129"/>
      <c r="E21" s="116"/>
      <c r="F21" s="116"/>
      <c r="G21" s="116"/>
      <c r="H21" s="117"/>
      <c r="I21" s="137">
        <f>H21</f>
        <v>0</v>
      </c>
      <c r="J21" s="116"/>
      <c r="K21" s="116"/>
      <c r="L21" s="116"/>
      <c r="M21" s="142"/>
      <c r="N21" s="137">
        <f>M21</f>
        <v>0</v>
      </c>
      <c r="O21" s="122">
        <f t="shared" si="0"/>
        <v>0</v>
      </c>
      <c r="P21" s="129"/>
    </row>
    <row r="22" spans="1:16" s="4" customFormat="1" ht="21" x14ac:dyDescent="0.45">
      <c r="A22" s="323" t="s">
        <v>89</v>
      </c>
      <c r="B22" s="323"/>
      <c r="C22" s="323"/>
      <c r="D22" s="128"/>
      <c r="E22" s="116"/>
      <c r="F22" s="116"/>
      <c r="G22" s="116"/>
      <c r="H22" s="124"/>
      <c r="I22" s="128"/>
      <c r="J22" s="116"/>
      <c r="K22" s="116"/>
      <c r="L22" s="116"/>
      <c r="M22" s="128"/>
      <c r="N22" s="128"/>
      <c r="O22" s="122"/>
      <c r="P22" s="128"/>
    </row>
    <row r="23" spans="1:16" s="4" customFormat="1" ht="21" x14ac:dyDescent="0.45">
      <c r="A23" s="323" t="s">
        <v>56</v>
      </c>
      <c r="B23" s="323"/>
      <c r="C23" s="323"/>
      <c r="D23" s="129"/>
      <c r="E23" s="116"/>
      <c r="F23" s="116"/>
      <c r="G23" s="116"/>
      <c r="H23" s="117"/>
      <c r="I23" s="137">
        <f>H23</f>
        <v>0</v>
      </c>
      <c r="J23" s="116"/>
      <c r="K23" s="116"/>
      <c r="L23" s="116"/>
      <c r="M23" s="142"/>
      <c r="N23" s="122">
        <f>M23</f>
        <v>0</v>
      </c>
      <c r="O23" s="122">
        <f t="shared" si="0"/>
        <v>0</v>
      </c>
      <c r="P23" s="129"/>
    </row>
    <row r="24" spans="1:16" s="4" customFormat="1" ht="21" x14ac:dyDescent="0.45">
      <c r="A24" s="323" t="s">
        <v>88</v>
      </c>
      <c r="B24" s="323"/>
      <c r="C24" s="323"/>
      <c r="D24" s="129"/>
      <c r="E24" s="116"/>
      <c r="F24" s="116"/>
      <c r="G24" s="116"/>
      <c r="H24" s="117"/>
      <c r="I24" s="137">
        <f>H24</f>
        <v>0</v>
      </c>
      <c r="J24" s="116"/>
      <c r="K24" s="116"/>
      <c r="L24" s="116"/>
      <c r="M24" s="142"/>
      <c r="N24" s="122">
        <f>M24</f>
        <v>0</v>
      </c>
      <c r="O24" s="122">
        <f t="shared" si="0"/>
        <v>0</v>
      </c>
      <c r="P24" s="129"/>
    </row>
    <row r="25" spans="1:16" s="4" customFormat="1" ht="62.5" customHeight="1" x14ac:dyDescent="0.45">
      <c r="A25" s="323" t="s">
        <v>90</v>
      </c>
      <c r="B25" s="323"/>
      <c r="C25" s="323"/>
      <c r="D25" s="128"/>
      <c r="E25" s="116"/>
      <c r="F25" s="116"/>
      <c r="G25" s="116"/>
      <c r="H25" s="116"/>
      <c r="I25" s="128"/>
      <c r="J25" s="128"/>
      <c r="K25" s="128"/>
      <c r="L25" s="128"/>
      <c r="M25" s="128"/>
      <c r="N25" s="128"/>
      <c r="O25" s="122"/>
      <c r="P25" s="128"/>
    </row>
    <row r="26" spans="1:16" s="4" customFormat="1" ht="21" x14ac:dyDescent="0.45">
      <c r="A26" s="323" t="s">
        <v>91</v>
      </c>
      <c r="B26" s="323"/>
      <c r="C26" s="323"/>
      <c r="D26" s="129"/>
      <c r="E26" s="123">
        <v>1</v>
      </c>
      <c r="F26" s="116"/>
      <c r="G26" s="116"/>
      <c r="H26" s="116"/>
      <c r="I26" s="137">
        <f>E26</f>
        <v>1</v>
      </c>
      <c r="J26" s="142"/>
      <c r="K26" s="116"/>
      <c r="L26" s="116"/>
      <c r="M26" s="116"/>
      <c r="N26" s="122">
        <f>J26</f>
        <v>0</v>
      </c>
      <c r="O26" s="122">
        <f t="shared" si="0"/>
        <v>-1</v>
      </c>
      <c r="P26" s="129"/>
    </row>
    <row r="27" spans="1:16" s="4" customFormat="1" ht="21" x14ac:dyDescent="0.45">
      <c r="A27" s="323" t="s">
        <v>92</v>
      </c>
      <c r="B27" s="323"/>
      <c r="C27" s="323"/>
      <c r="D27" s="129"/>
      <c r="E27" s="123">
        <v>1</v>
      </c>
      <c r="F27" s="116"/>
      <c r="G27" s="116"/>
      <c r="H27" s="116"/>
      <c r="I27" s="137">
        <f t="shared" ref="I27:I28" si="1">E27</f>
        <v>1</v>
      </c>
      <c r="J27" s="142"/>
      <c r="K27" s="116"/>
      <c r="L27" s="116"/>
      <c r="M27" s="116"/>
      <c r="N27" s="122">
        <f t="shared" ref="N27:N28" si="2">J27</f>
        <v>0</v>
      </c>
      <c r="O27" s="122">
        <f t="shared" si="0"/>
        <v>-1</v>
      </c>
      <c r="P27" s="129"/>
    </row>
    <row r="28" spans="1:16" s="4" customFormat="1" ht="21" x14ac:dyDescent="0.45">
      <c r="A28" s="323" t="s">
        <v>93</v>
      </c>
      <c r="B28" s="323"/>
      <c r="C28" s="323"/>
      <c r="D28" s="129"/>
      <c r="E28" s="123">
        <v>1</v>
      </c>
      <c r="F28" s="116"/>
      <c r="G28" s="116"/>
      <c r="H28" s="116"/>
      <c r="I28" s="137">
        <f t="shared" si="1"/>
        <v>1</v>
      </c>
      <c r="J28" s="142"/>
      <c r="K28" s="116"/>
      <c r="L28" s="116"/>
      <c r="M28" s="116"/>
      <c r="N28" s="122">
        <f t="shared" si="2"/>
        <v>0</v>
      </c>
      <c r="O28" s="122">
        <f t="shared" si="0"/>
        <v>-1</v>
      </c>
      <c r="P28" s="129"/>
    </row>
    <row r="29" spans="1:16" s="4" customFormat="1" ht="21" x14ac:dyDescent="0.45">
      <c r="A29" s="143"/>
      <c r="B29" s="143"/>
      <c r="C29" s="143"/>
      <c r="D29" s="129"/>
      <c r="E29" s="116"/>
      <c r="F29" s="116"/>
      <c r="G29" s="116"/>
      <c r="H29" s="116"/>
      <c r="I29" s="128"/>
      <c r="J29" s="129"/>
      <c r="K29" s="129"/>
      <c r="L29" s="129"/>
      <c r="M29" s="129"/>
      <c r="N29" s="129"/>
      <c r="O29" s="122"/>
      <c r="P29" s="129"/>
    </row>
    <row r="30" spans="1:16" s="4" customFormat="1" ht="21" x14ac:dyDescent="0.45">
      <c r="A30" s="323" t="s">
        <v>24</v>
      </c>
      <c r="B30" s="323"/>
      <c r="C30" s="323"/>
      <c r="D30" s="129"/>
      <c r="E30" s="116"/>
      <c r="F30" s="116"/>
      <c r="G30" s="116"/>
      <c r="H30" s="116"/>
      <c r="I30" s="128"/>
      <c r="J30" s="129"/>
      <c r="K30" s="129"/>
      <c r="L30" s="129"/>
      <c r="M30" s="129"/>
      <c r="N30" s="129"/>
      <c r="O30" s="122"/>
      <c r="P30" s="129"/>
    </row>
    <row r="31" spans="1:16" s="133" customFormat="1" ht="21" x14ac:dyDescent="0.3">
      <c r="A31" s="318" t="s">
        <v>94</v>
      </c>
      <c r="B31" s="318"/>
      <c r="C31" s="318"/>
      <c r="D31" s="128"/>
      <c r="E31" s="116"/>
      <c r="F31" s="116"/>
      <c r="G31" s="116"/>
      <c r="H31" s="116"/>
      <c r="I31" s="128"/>
      <c r="J31" s="128"/>
      <c r="K31" s="128"/>
      <c r="L31" s="128"/>
      <c r="M31" s="128"/>
      <c r="N31" s="128"/>
      <c r="O31" s="122"/>
      <c r="P31" s="128"/>
    </row>
    <row r="32" spans="1:16" s="4" customFormat="1" ht="21" x14ac:dyDescent="0.45">
      <c r="A32" s="323" t="s">
        <v>28</v>
      </c>
      <c r="B32" s="323"/>
      <c r="C32" s="323"/>
      <c r="D32" s="129"/>
      <c r="E32" s="116"/>
      <c r="F32" s="116"/>
      <c r="G32" s="116"/>
      <c r="H32" s="120"/>
      <c r="I32" s="128">
        <f>H32</f>
        <v>0</v>
      </c>
      <c r="J32" s="116"/>
      <c r="K32" s="116"/>
      <c r="L32" s="116"/>
      <c r="M32" s="129"/>
      <c r="N32" s="116">
        <f>M32</f>
        <v>0</v>
      </c>
      <c r="O32" s="116">
        <f t="shared" si="0"/>
        <v>0</v>
      </c>
      <c r="P32" s="129"/>
    </row>
    <row r="33" spans="1:16" s="4" customFormat="1" ht="21" x14ac:dyDescent="0.45">
      <c r="A33" s="323" t="s">
        <v>29</v>
      </c>
      <c r="B33" s="323"/>
      <c r="C33" s="323"/>
      <c r="D33" s="129"/>
      <c r="E33" s="116"/>
      <c r="F33" s="116"/>
      <c r="G33" s="116"/>
      <c r="H33" s="120"/>
      <c r="I33" s="128">
        <f>H33</f>
        <v>0</v>
      </c>
      <c r="J33" s="116"/>
      <c r="K33" s="116"/>
      <c r="L33" s="116"/>
      <c r="M33" s="129"/>
      <c r="N33" s="116">
        <f>M33</f>
        <v>0</v>
      </c>
      <c r="O33" s="116">
        <f t="shared" si="0"/>
        <v>0</v>
      </c>
      <c r="P33" s="129"/>
    </row>
    <row r="34" spans="1:16" s="4" customFormat="1" ht="21" x14ac:dyDescent="0.45">
      <c r="A34" s="143"/>
      <c r="B34" s="143"/>
      <c r="C34" s="143"/>
      <c r="D34" s="129"/>
      <c r="E34" s="116"/>
      <c r="F34" s="116"/>
      <c r="G34" s="116"/>
      <c r="H34" s="116"/>
      <c r="I34" s="128"/>
      <c r="J34" s="129"/>
      <c r="K34" s="129"/>
      <c r="L34" s="129"/>
      <c r="M34" s="129"/>
      <c r="N34" s="129"/>
      <c r="O34" s="122"/>
      <c r="P34" s="129"/>
    </row>
    <row r="35" spans="1:16" s="4" customFormat="1" ht="21" x14ac:dyDescent="0.45">
      <c r="A35" s="323" t="s">
        <v>95</v>
      </c>
      <c r="B35" s="323"/>
      <c r="C35" s="323"/>
      <c r="D35" s="129"/>
      <c r="E35" s="116"/>
      <c r="F35" s="116"/>
      <c r="G35" s="116"/>
      <c r="H35" s="116"/>
      <c r="I35" s="128"/>
      <c r="J35" s="129"/>
      <c r="K35" s="129"/>
      <c r="L35" s="129"/>
      <c r="M35" s="129"/>
      <c r="N35" s="129"/>
      <c r="O35" s="122"/>
      <c r="P35" s="129"/>
    </row>
    <row r="36" spans="1:16" s="4" customFormat="1" ht="42.5" customHeight="1" x14ac:dyDescent="0.45">
      <c r="A36" s="323" t="s">
        <v>30</v>
      </c>
      <c r="B36" s="323"/>
      <c r="C36" s="323"/>
      <c r="D36" s="129"/>
      <c r="E36" s="116"/>
      <c r="F36" s="116"/>
      <c r="G36" s="116"/>
      <c r="H36" s="116"/>
      <c r="I36" s="128">
        <f>H36</f>
        <v>0</v>
      </c>
      <c r="J36" s="116"/>
      <c r="K36" s="116"/>
      <c r="L36" s="116"/>
      <c r="M36" s="129"/>
      <c r="N36" s="116">
        <f>M36</f>
        <v>0</v>
      </c>
      <c r="O36" s="116">
        <f t="shared" si="0"/>
        <v>0</v>
      </c>
      <c r="P36" s="129"/>
    </row>
    <row r="37" spans="1:16" s="4" customFormat="1" ht="42.5" customHeight="1" x14ac:dyDescent="0.45">
      <c r="A37" s="323" t="s">
        <v>31</v>
      </c>
      <c r="B37" s="323"/>
      <c r="C37" s="323"/>
      <c r="D37" s="129"/>
      <c r="E37" s="116"/>
      <c r="F37" s="116"/>
      <c r="G37" s="116"/>
      <c r="H37" s="116"/>
      <c r="I37" s="128">
        <f t="shared" ref="I37:I38" si="3">H37</f>
        <v>0</v>
      </c>
      <c r="J37" s="116"/>
      <c r="K37" s="116"/>
      <c r="L37" s="116"/>
      <c r="M37" s="129"/>
      <c r="N37" s="116">
        <f t="shared" ref="N37:N38" si="4">M37</f>
        <v>0</v>
      </c>
      <c r="O37" s="116">
        <f t="shared" si="0"/>
        <v>0</v>
      </c>
      <c r="P37" s="129"/>
    </row>
    <row r="38" spans="1:16" s="4" customFormat="1" ht="42.5" customHeight="1" x14ac:dyDescent="0.45">
      <c r="A38" s="323" t="s">
        <v>32</v>
      </c>
      <c r="B38" s="323"/>
      <c r="C38" s="323"/>
      <c r="D38" s="129"/>
      <c r="E38" s="116"/>
      <c r="F38" s="116"/>
      <c r="G38" s="116"/>
      <c r="H38" s="116"/>
      <c r="I38" s="128">
        <f t="shared" si="3"/>
        <v>0</v>
      </c>
      <c r="J38" s="116"/>
      <c r="K38" s="116"/>
      <c r="L38" s="116"/>
      <c r="M38" s="129"/>
      <c r="N38" s="116">
        <f t="shared" si="4"/>
        <v>0</v>
      </c>
      <c r="O38" s="116">
        <f t="shared" si="0"/>
        <v>0</v>
      </c>
      <c r="P38" s="129"/>
    </row>
    <row r="39" spans="1:16" x14ac:dyDescent="0.3">
      <c r="A39" s="215"/>
      <c r="B39" s="215"/>
      <c r="C39" s="215"/>
    </row>
    <row r="40" spans="1:16" x14ac:dyDescent="0.3">
      <c r="A40" s="268" t="s">
        <v>34</v>
      </c>
      <c r="B40" s="268"/>
      <c r="C40" s="268"/>
      <c r="H40" s="268" t="s">
        <v>35</v>
      </c>
      <c r="I40" s="268"/>
      <c r="J40" s="268"/>
      <c r="M40" s="268" t="s">
        <v>14</v>
      </c>
      <c r="N40" s="268"/>
      <c r="O40" s="268"/>
    </row>
    <row r="41" spans="1:16" x14ac:dyDescent="0.3">
      <c r="A41" s="215"/>
      <c r="B41" s="215"/>
      <c r="C41" s="215"/>
      <c r="H41" s="215"/>
      <c r="I41" s="215"/>
      <c r="J41" s="215"/>
      <c r="M41" s="215"/>
      <c r="N41" s="215"/>
      <c r="O41" s="215"/>
    </row>
    <row r="42" spans="1:16" x14ac:dyDescent="0.3">
      <c r="A42" s="307"/>
      <c r="B42" s="307"/>
      <c r="C42" s="307"/>
      <c r="H42" s="307"/>
      <c r="I42" s="307"/>
      <c r="J42" s="307"/>
      <c r="M42" s="307"/>
      <c r="N42" s="307"/>
      <c r="O42" s="307"/>
    </row>
    <row r="43" spans="1:16" x14ac:dyDescent="0.3">
      <c r="A43" s="209"/>
      <c r="B43" s="209"/>
      <c r="C43" s="209"/>
      <c r="H43" s="209"/>
      <c r="I43" s="209"/>
      <c r="J43" s="209"/>
      <c r="M43" s="1" t="s">
        <v>33</v>
      </c>
      <c r="N43" s="1"/>
      <c r="O43" s="1"/>
      <c r="P43" s="3"/>
    </row>
    <row r="44" spans="1:16" x14ac:dyDescent="0.3">
      <c r="A44" s="267" t="s">
        <v>13</v>
      </c>
      <c r="B44" s="267"/>
      <c r="C44" s="267"/>
      <c r="H44" s="30" t="s">
        <v>13</v>
      </c>
      <c r="M44" s="267" t="s">
        <v>13</v>
      </c>
      <c r="N44" s="267"/>
      <c r="O44" s="267"/>
      <c r="P44" s="267"/>
    </row>
  </sheetData>
  <mergeCells count="50">
    <mergeCell ref="A43:C43"/>
    <mergeCell ref="H43:J43"/>
    <mergeCell ref="A44:C44"/>
    <mergeCell ref="M44:P44"/>
    <mergeCell ref="H40:J40"/>
    <mergeCell ref="M40:O40"/>
    <mergeCell ref="A41:C41"/>
    <mergeCell ref="H41:J41"/>
    <mergeCell ref="M41:O41"/>
    <mergeCell ref="A42:C42"/>
    <mergeCell ref="H42:J42"/>
    <mergeCell ref="M42:O42"/>
    <mergeCell ref="A39:C39"/>
    <mergeCell ref="A40:C40"/>
    <mergeCell ref="A32:C32"/>
    <mergeCell ref="A33:C33"/>
    <mergeCell ref="A35:C35"/>
    <mergeCell ref="A36:C36"/>
    <mergeCell ref="A37:C37"/>
    <mergeCell ref="A38:C38"/>
    <mergeCell ref="A31:C31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0:C30"/>
    <mergeCell ref="A17:C17"/>
    <mergeCell ref="A18:C18"/>
    <mergeCell ref="O13:O14"/>
    <mergeCell ref="P13:P14"/>
    <mergeCell ref="A15:C15"/>
    <mergeCell ref="A16:C16"/>
    <mergeCell ref="J13:N13"/>
    <mergeCell ref="C10:D10"/>
    <mergeCell ref="C11:D11"/>
    <mergeCell ref="A13:C14"/>
    <mergeCell ref="D13:D14"/>
    <mergeCell ref="E13:I13"/>
    <mergeCell ref="C9:D9"/>
    <mergeCell ref="O1:P1"/>
    <mergeCell ref="O2:P2"/>
    <mergeCell ref="E4:J4"/>
    <mergeCell ref="E5:J5"/>
    <mergeCell ref="C8:D8"/>
  </mergeCells>
  <pageMargins left="0.25" right="0.25" top="0.75" bottom="0.75" header="0.3" footer="0.3"/>
  <pageSetup paperSize="9" scale="48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7006-2B82-4EF2-B53A-8A04CC2A6DCC}">
  <sheetPr>
    <pageSetUpPr fitToPage="1"/>
  </sheetPr>
  <dimension ref="A1:P36"/>
  <sheetViews>
    <sheetView view="pageBreakPreview" zoomScale="60" zoomScaleNormal="92" workbookViewId="0">
      <selection activeCell="A28" sqref="A28:C30"/>
    </sheetView>
  </sheetViews>
  <sheetFormatPr defaultColWidth="8.90625" defaultRowHeight="13" x14ac:dyDescent="0.3"/>
  <cols>
    <col min="1" max="1" width="16.08984375" style="4" customWidth="1"/>
    <col min="2" max="2" width="1.26953125" style="2" customWidth="1"/>
    <col min="3" max="3" width="48.6328125" style="2" customWidth="1"/>
    <col min="4" max="4" width="20.81640625" style="2" customWidth="1"/>
    <col min="5" max="7" width="15.81640625" style="32" customWidth="1"/>
    <col min="8" max="8" width="15.81640625" style="27" customWidth="1"/>
    <col min="9" max="9" width="13.08984375" style="5" customWidth="1"/>
    <col min="10" max="10" width="10.36328125" style="2" customWidth="1"/>
    <col min="11" max="11" width="9.81640625" style="2" customWidth="1"/>
    <col min="12" max="12" width="10.36328125" style="2" customWidth="1"/>
    <col min="13" max="13" width="12.81640625" style="2" customWidth="1"/>
    <col min="14" max="14" width="14.81640625" style="2" customWidth="1"/>
    <col min="15" max="15" width="12.08984375" style="2" customWidth="1"/>
    <col min="16" max="16" width="14" style="2" customWidth="1"/>
    <col min="17" max="16384" width="8.90625" style="2"/>
  </cols>
  <sheetData>
    <row r="1" spans="1:16" x14ac:dyDescent="0.3">
      <c r="O1" s="274" t="s">
        <v>0</v>
      </c>
      <c r="P1" s="274"/>
    </row>
    <row r="2" spans="1:16" x14ac:dyDescent="0.3">
      <c r="O2" s="274" t="s">
        <v>12</v>
      </c>
      <c r="P2" s="274"/>
    </row>
    <row r="4" spans="1:16" x14ac:dyDescent="0.3">
      <c r="E4" s="274" t="s">
        <v>1</v>
      </c>
      <c r="F4" s="274"/>
      <c r="G4" s="274"/>
      <c r="H4" s="274"/>
      <c r="I4" s="274"/>
      <c r="J4" s="274"/>
    </row>
    <row r="5" spans="1:16" x14ac:dyDescent="0.3">
      <c r="E5" s="215" t="s">
        <v>60</v>
      </c>
      <c r="F5" s="215"/>
      <c r="G5" s="215"/>
      <c r="H5" s="215"/>
      <c r="I5" s="215"/>
      <c r="J5" s="215"/>
    </row>
    <row r="8" spans="1:16" x14ac:dyDescent="0.3">
      <c r="A8" s="49" t="s">
        <v>15</v>
      </c>
      <c r="B8" s="2" t="s">
        <v>19</v>
      </c>
      <c r="C8" s="271" t="s">
        <v>61</v>
      </c>
      <c r="D8" s="271"/>
    </row>
    <row r="9" spans="1:16" x14ac:dyDescent="0.3">
      <c r="A9" s="49" t="s">
        <v>16</v>
      </c>
      <c r="B9" s="2" t="s">
        <v>19</v>
      </c>
      <c r="C9" s="271" t="s">
        <v>62</v>
      </c>
      <c r="D9" s="271"/>
    </row>
    <row r="10" spans="1:16" x14ac:dyDescent="0.3">
      <c r="A10" s="49" t="s">
        <v>17</v>
      </c>
      <c r="B10" s="2" t="s">
        <v>19</v>
      </c>
      <c r="C10" s="271" t="s">
        <v>116</v>
      </c>
      <c r="D10" s="271"/>
    </row>
    <row r="11" spans="1:16" ht="23.5" x14ac:dyDescent="0.3">
      <c r="A11" s="49" t="s">
        <v>18</v>
      </c>
      <c r="B11" s="2" t="s">
        <v>19</v>
      </c>
      <c r="C11" s="271" t="s">
        <v>64</v>
      </c>
      <c r="D11" s="271"/>
    </row>
    <row r="12" spans="1:16" ht="13.5" thickBot="1" x14ac:dyDescent="0.35"/>
    <row r="13" spans="1:16" ht="13.5" thickBot="1" x14ac:dyDescent="0.35">
      <c r="A13" s="272" t="s">
        <v>2</v>
      </c>
      <c r="B13" s="272"/>
      <c r="C13" s="272"/>
      <c r="D13" s="272" t="s">
        <v>3</v>
      </c>
      <c r="E13" s="273" t="s">
        <v>4</v>
      </c>
      <c r="F13" s="273"/>
      <c r="G13" s="273"/>
      <c r="H13" s="273"/>
      <c r="I13" s="273"/>
      <c r="J13" s="273" t="s">
        <v>10</v>
      </c>
      <c r="K13" s="273"/>
      <c r="L13" s="273"/>
      <c r="M13" s="273"/>
      <c r="N13" s="273"/>
      <c r="O13" s="284" t="s">
        <v>20</v>
      </c>
      <c r="P13" s="273" t="s">
        <v>11</v>
      </c>
    </row>
    <row r="14" spans="1:16" ht="26.5" thickBot="1" x14ac:dyDescent="0.35">
      <c r="A14" s="272"/>
      <c r="B14" s="272"/>
      <c r="C14" s="272"/>
      <c r="D14" s="272"/>
      <c r="E14" s="7" t="s">
        <v>5</v>
      </c>
      <c r="F14" s="7" t="s">
        <v>6</v>
      </c>
      <c r="G14" s="7" t="s">
        <v>7</v>
      </c>
      <c r="H14" s="7" t="s">
        <v>8</v>
      </c>
      <c r="I14" s="7" t="s">
        <v>9</v>
      </c>
      <c r="J14" s="7" t="s">
        <v>5</v>
      </c>
      <c r="K14" s="7" t="s">
        <v>6</v>
      </c>
      <c r="L14" s="7" t="s">
        <v>7</v>
      </c>
      <c r="M14" s="7" t="s">
        <v>8</v>
      </c>
      <c r="N14" s="7" t="s">
        <v>9</v>
      </c>
      <c r="O14" s="284"/>
      <c r="P14" s="273"/>
    </row>
    <row r="15" spans="1:16" x14ac:dyDescent="0.3">
      <c r="A15" s="322">
        <v>1</v>
      </c>
      <c r="B15" s="322"/>
      <c r="C15" s="322"/>
      <c r="D15" s="113">
        <v>2</v>
      </c>
      <c r="E15" s="113">
        <v>3</v>
      </c>
      <c r="F15" s="113">
        <v>4</v>
      </c>
      <c r="G15" s="113">
        <v>5</v>
      </c>
      <c r="H15" s="114">
        <v>6</v>
      </c>
      <c r="I15" s="113" t="s">
        <v>21</v>
      </c>
      <c r="J15" s="113">
        <v>8</v>
      </c>
      <c r="K15" s="113">
        <v>9</v>
      </c>
      <c r="L15" s="113">
        <v>10</v>
      </c>
      <c r="M15" s="113">
        <v>11</v>
      </c>
      <c r="N15" s="113" t="s">
        <v>22</v>
      </c>
      <c r="O15" s="113">
        <v>13</v>
      </c>
      <c r="P15" s="113">
        <v>14</v>
      </c>
    </row>
    <row r="16" spans="1:16" s="4" customFormat="1" ht="82.5" customHeight="1" x14ac:dyDescent="0.45">
      <c r="A16" s="323" t="s">
        <v>36</v>
      </c>
      <c r="B16" s="323"/>
      <c r="C16" s="323"/>
      <c r="D16" s="125"/>
      <c r="E16" s="115"/>
      <c r="F16" s="115"/>
      <c r="G16" s="115"/>
      <c r="H16" s="115"/>
      <c r="I16" s="126"/>
      <c r="J16" s="125"/>
      <c r="K16" s="125"/>
      <c r="L16" s="125"/>
      <c r="M16" s="125"/>
      <c r="N16" s="125"/>
      <c r="O16" s="125"/>
      <c r="P16" s="125"/>
    </row>
    <row r="17" spans="1:16" s="4" customFormat="1" ht="41.5" customHeight="1" x14ac:dyDescent="0.4">
      <c r="A17" s="324" t="s">
        <v>40</v>
      </c>
      <c r="B17" s="324"/>
      <c r="C17" s="324"/>
      <c r="D17" s="139">
        <v>310500000000000</v>
      </c>
      <c r="E17" s="116"/>
      <c r="F17" s="116"/>
      <c r="G17" s="116"/>
      <c r="H17" s="116"/>
      <c r="I17" s="128"/>
      <c r="J17" s="129"/>
      <c r="K17" s="129"/>
      <c r="L17" s="129"/>
      <c r="M17" s="129"/>
      <c r="N17" s="129"/>
      <c r="O17" s="122"/>
      <c r="P17" s="129"/>
    </row>
    <row r="18" spans="1:16" s="4" customFormat="1" ht="20" x14ac:dyDescent="0.4">
      <c r="A18" s="325" t="s">
        <v>86</v>
      </c>
      <c r="B18" s="325"/>
      <c r="C18" s="325"/>
      <c r="D18" s="129"/>
      <c r="E18" s="116"/>
      <c r="F18" s="116"/>
      <c r="G18" s="116"/>
      <c r="H18" s="116"/>
      <c r="I18" s="128"/>
      <c r="J18" s="129"/>
      <c r="K18" s="129"/>
      <c r="L18" s="129"/>
      <c r="M18" s="129"/>
      <c r="N18" s="129"/>
      <c r="O18" s="122"/>
      <c r="P18" s="129"/>
    </row>
    <row r="19" spans="1:16" s="135" customFormat="1" ht="64.5" customHeight="1" x14ac:dyDescent="0.35">
      <c r="A19" s="318" t="s">
        <v>96</v>
      </c>
      <c r="B19" s="318"/>
      <c r="C19" s="318"/>
      <c r="D19" s="116"/>
      <c r="E19" s="123"/>
      <c r="F19" s="123"/>
      <c r="G19" s="123"/>
      <c r="H19" s="123"/>
      <c r="I19" s="123" t="e">
        <f>AVERAGE(E19:H19)</f>
        <v>#DIV/0!</v>
      </c>
      <c r="J19" s="116"/>
      <c r="K19" s="116"/>
      <c r="L19" s="116"/>
      <c r="M19" s="116"/>
      <c r="N19" s="116" t="e">
        <f>AVERAGE(J19:M19)</f>
        <v>#DIV/0!</v>
      </c>
      <c r="O19" s="122" t="e">
        <f t="shared" ref="O19:O24" si="0">N19-I19</f>
        <v>#DIV/0!</v>
      </c>
      <c r="P19" s="116"/>
    </row>
    <row r="20" spans="1:16" s="135" customFormat="1" ht="40" x14ac:dyDescent="0.35">
      <c r="A20" s="144"/>
      <c r="B20" s="144"/>
      <c r="C20" s="145" t="s">
        <v>109</v>
      </c>
      <c r="D20" s="116"/>
      <c r="E20" s="123"/>
      <c r="F20" s="123"/>
      <c r="G20" s="123"/>
      <c r="H20" s="123"/>
      <c r="I20" s="123" t="e">
        <f>AVERAGE(E20:H20)</f>
        <v>#DIV/0!</v>
      </c>
      <c r="J20" s="116"/>
      <c r="K20" s="116"/>
      <c r="L20" s="116"/>
      <c r="M20" s="116"/>
      <c r="N20" s="116" t="e">
        <f>AVERAGE(J20:M20)</f>
        <v>#DIV/0!</v>
      </c>
      <c r="O20" s="122" t="e">
        <f t="shared" si="0"/>
        <v>#DIV/0!</v>
      </c>
      <c r="P20" s="116"/>
    </row>
    <row r="21" spans="1:16" s="135" customFormat="1" ht="21" x14ac:dyDescent="0.35">
      <c r="A21" s="144"/>
      <c r="B21" s="144"/>
      <c r="C21" s="144" t="s">
        <v>110</v>
      </c>
      <c r="D21" s="116"/>
      <c r="E21" s="116"/>
      <c r="F21" s="116"/>
      <c r="G21" s="116"/>
      <c r="H21" s="116"/>
      <c r="I21" s="116" t="e">
        <f>AVERAGE(E21:H21)</f>
        <v>#DIV/0!</v>
      </c>
      <c r="J21" s="116"/>
      <c r="K21" s="116"/>
      <c r="L21" s="116"/>
      <c r="M21" s="116"/>
      <c r="N21" s="116" t="e">
        <f t="shared" ref="N21:N24" si="1">AVERAGE(J21:M21)</f>
        <v>#DIV/0!</v>
      </c>
      <c r="O21" s="122" t="e">
        <f t="shared" si="0"/>
        <v>#DIV/0!</v>
      </c>
      <c r="P21" s="116"/>
    </row>
    <row r="22" spans="1:16" s="135" customFormat="1" ht="21" x14ac:dyDescent="0.35">
      <c r="A22" s="144"/>
      <c r="B22" s="144"/>
      <c r="C22" s="144" t="s">
        <v>56</v>
      </c>
      <c r="D22" s="116"/>
      <c r="E22" s="116"/>
      <c r="F22" s="116"/>
      <c r="G22" s="116"/>
      <c r="H22" s="116"/>
      <c r="I22" s="116" t="e">
        <f t="shared" ref="I22:I24" si="2">AVERAGE(E22:H22)</f>
        <v>#DIV/0!</v>
      </c>
      <c r="J22" s="116"/>
      <c r="K22" s="116"/>
      <c r="L22" s="116"/>
      <c r="M22" s="116"/>
      <c r="N22" s="116" t="e">
        <f t="shared" si="1"/>
        <v>#DIV/0!</v>
      </c>
      <c r="O22" s="122" t="e">
        <f t="shared" si="0"/>
        <v>#DIV/0!</v>
      </c>
      <c r="P22" s="116"/>
    </row>
    <row r="23" spans="1:16" s="135" customFormat="1" ht="21" x14ac:dyDescent="0.35">
      <c r="A23" s="144"/>
      <c r="B23" s="144"/>
      <c r="C23" s="144" t="s">
        <v>57</v>
      </c>
      <c r="D23" s="116"/>
      <c r="E23" s="116"/>
      <c r="F23" s="116"/>
      <c r="G23" s="116"/>
      <c r="H23" s="116"/>
      <c r="I23" s="116" t="e">
        <f t="shared" si="2"/>
        <v>#DIV/0!</v>
      </c>
      <c r="J23" s="116"/>
      <c r="K23" s="116"/>
      <c r="L23" s="116"/>
      <c r="M23" s="116"/>
      <c r="N23" s="116" t="e">
        <f t="shared" si="1"/>
        <v>#DIV/0!</v>
      </c>
      <c r="O23" s="122" t="e">
        <f t="shared" si="0"/>
        <v>#DIV/0!</v>
      </c>
      <c r="P23" s="116"/>
    </row>
    <row r="24" spans="1:16" s="135" customFormat="1" ht="21" x14ac:dyDescent="0.35">
      <c r="A24" s="144"/>
      <c r="B24" s="144"/>
      <c r="C24" s="144" t="s">
        <v>58</v>
      </c>
      <c r="D24" s="116"/>
      <c r="E24" s="116"/>
      <c r="F24" s="116"/>
      <c r="G24" s="116"/>
      <c r="H24" s="116"/>
      <c r="I24" s="116" t="e">
        <f t="shared" si="2"/>
        <v>#DIV/0!</v>
      </c>
      <c r="J24" s="116"/>
      <c r="K24" s="116"/>
      <c r="L24" s="116"/>
      <c r="M24" s="116"/>
      <c r="N24" s="116" t="e">
        <f t="shared" si="1"/>
        <v>#DIV/0!</v>
      </c>
      <c r="O24" s="122" t="e">
        <f t="shared" si="0"/>
        <v>#DIV/0!</v>
      </c>
      <c r="P24" s="116"/>
    </row>
    <row r="25" spans="1:16" s="135" customFormat="1" ht="21" x14ac:dyDescent="0.35">
      <c r="A25" s="144"/>
      <c r="B25" s="144"/>
      <c r="C25" s="145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22"/>
      <c r="P25" s="116"/>
    </row>
    <row r="26" spans="1:16" s="4" customFormat="1" ht="20" x14ac:dyDescent="0.4">
      <c r="A26" s="325" t="s">
        <v>59</v>
      </c>
      <c r="B26" s="325"/>
      <c r="C26" s="325"/>
      <c r="D26" s="129"/>
      <c r="E26" s="116"/>
      <c r="F26" s="116"/>
      <c r="G26" s="116"/>
      <c r="H26" s="116"/>
      <c r="I26" s="128"/>
      <c r="J26" s="129"/>
      <c r="K26" s="129"/>
      <c r="L26" s="129"/>
      <c r="M26" s="129"/>
      <c r="N26" s="129"/>
      <c r="O26" s="122"/>
      <c r="P26" s="129"/>
    </row>
    <row r="27" spans="1:16" s="4" customFormat="1" ht="45" customHeight="1" x14ac:dyDescent="0.3">
      <c r="A27" s="318" t="s">
        <v>97</v>
      </c>
      <c r="B27" s="318"/>
      <c r="C27" s="318"/>
      <c r="D27" s="128"/>
      <c r="E27" s="116"/>
      <c r="F27" s="116"/>
      <c r="G27" s="116"/>
      <c r="H27" s="116"/>
      <c r="I27" s="116"/>
      <c r="J27" s="128"/>
      <c r="K27" s="128"/>
      <c r="L27" s="128"/>
      <c r="M27" s="128"/>
      <c r="N27" s="116"/>
      <c r="O27" s="116"/>
      <c r="P27" s="128"/>
    </row>
    <row r="28" spans="1:16" s="4" customFormat="1" ht="17.5" x14ac:dyDescent="0.3">
      <c r="A28" s="326" t="s">
        <v>113</v>
      </c>
      <c r="B28" s="326"/>
      <c r="C28" s="326"/>
      <c r="D28" s="128"/>
      <c r="E28" s="116"/>
      <c r="F28" s="116"/>
      <c r="G28" s="116"/>
      <c r="H28" s="116"/>
      <c r="I28" s="116">
        <f>SUM(E28:H28)</f>
        <v>0</v>
      </c>
      <c r="J28" s="128"/>
      <c r="K28" s="128"/>
      <c r="L28" s="128"/>
      <c r="M28" s="128"/>
      <c r="N28" s="116">
        <f>SUM(J28:M28)</f>
        <v>0</v>
      </c>
      <c r="O28" s="116">
        <f t="shared" ref="O28:O30" si="3">N28-I28</f>
        <v>0</v>
      </c>
      <c r="P28" s="128"/>
    </row>
    <row r="29" spans="1:16" s="4" customFormat="1" ht="17.5" x14ac:dyDescent="0.3">
      <c r="A29" s="326" t="s">
        <v>114</v>
      </c>
      <c r="B29" s="326"/>
      <c r="C29" s="326"/>
      <c r="D29" s="128"/>
      <c r="E29" s="116"/>
      <c r="F29" s="116"/>
      <c r="G29" s="116"/>
      <c r="H29" s="116"/>
      <c r="I29" s="116">
        <f>SUM(E29:H29)</f>
        <v>0</v>
      </c>
      <c r="J29" s="128"/>
      <c r="K29" s="128"/>
      <c r="L29" s="128"/>
      <c r="M29" s="128"/>
      <c r="N29" s="116">
        <f>SUM(J29:M29)</f>
        <v>0</v>
      </c>
      <c r="O29" s="116">
        <f t="shared" si="3"/>
        <v>0</v>
      </c>
      <c r="P29" s="128"/>
    </row>
    <row r="30" spans="1:16" s="4" customFormat="1" ht="17.5" x14ac:dyDescent="0.3">
      <c r="A30" s="326" t="s">
        <v>115</v>
      </c>
      <c r="B30" s="326"/>
      <c r="C30" s="326"/>
      <c r="D30" s="128"/>
      <c r="E30" s="116"/>
      <c r="F30" s="116"/>
      <c r="G30" s="116"/>
      <c r="H30" s="116"/>
      <c r="I30" s="116">
        <f>SUM(E30:H30)</f>
        <v>0</v>
      </c>
      <c r="J30" s="128"/>
      <c r="K30" s="128"/>
      <c r="L30" s="128"/>
      <c r="M30" s="128"/>
      <c r="N30" s="116">
        <f>SUM(J30:M30)</f>
        <v>0</v>
      </c>
      <c r="O30" s="116">
        <f t="shared" si="3"/>
        <v>0</v>
      </c>
      <c r="P30" s="128"/>
    </row>
    <row r="31" spans="1:16" x14ac:dyDescent="0.3">
      <c r="A31" s="215"/>
      <c r="B31" s="215"/>
      <c r="C31" s="215"/>
    </row>
    <row r="32" spans="1:16" x14ac:dyDescent="0.3">
      <c r="A32" s="268" t="s">
        <v>34</v>
      </c>
      <c r="B32" s="268"/>
      <c r="C32" s="268"/>
      <c r="H32" s="268" t="s">
        <v>35</v>
      </c>
      <c r="I32" s="268"/>
      <c r="J32" s="268"/>
      <c r="M32" s="268" t="s">
        <v>14</v>
      </c>
      <c r="N32" s="268"/>
      <c r="O32" s="268"/>
    </row>
    <row r="33" spans="1:16" x14ac:dyDescent="0.3">
      <c r="A33" s="215"/>
      <c r="B33" s="215"/>
      <c r="C33" s="215"/>
      <c r="H33" s="215"/>
      <c r="I33" s="215"/>
      <c r="J33" s="215"/>
      <c r="M33" s="215"/>
      <c r="N33" s="215"/>
      <c r="O33" s="215"/>
    </row>
    <row r="34" spans="1:16" x14ac:dyDescent="0.3">
      <c r="A34" s="307"/>
      <c r="B34" s="307"/>
      <c r="C34" s="307"/>
      <c r="H34" s="307"/>
      <c r="I34" s="307"/>
      <c r="J34" s="307"/>
      <c r="M34" s="307"/>
      <c r="N34" s="307"/>
      <c r="O34" s="307"/>
    </row>
    <row r="35" spans="1:16" x14ac:dyDescent="0.3">
      <c r="A35" s="209"/>
      <c r="B35" s="209"/>
      <c r="C35" s="209"/>
      <c r="H35" s="209"/>
      <c r="I35" s="209"/>
      <c r="J35" s="209"/>
      <c r="M35" s="1" t="s">
        <v>33</v>
      </c>
      <c r="N35" s="1"/>
      <c r="O35" s="1"/>
      <c r="P35" s="3"/>
    </row>
    <row r="36" spans="1:16" x14ac:dyDescent="0.3">
      <c r="A36" s="267" t="s">
        <v>13</v>
      </c>
      <c r="B36" s="267"/>
      <c r="C36" s="267"/>
      <c r="H36" s="30" t="s">
        <v>13</v>
      </c>
      <c r="M36" s="267" t="s">
        <v>13</v>
      </c>
      <c r="N36" s="267"/>
      <c r="O36" s="267"/>
      <c r="P36" s="267"/>
    </row>
  </sheetData>
  <mergeCells count="38">
    <mergeCell ref="A35:C35"/>
    <mergeCell ref="H35:J35"/>
    <mergeCell ref="A36:C36"/>
    <mergeCell ref="M36:P36"/>
    <mergeCell ref="H32:J32"/>
    <mergeCell ref="M32:O32"/>
    <mergeCell ref="A33:C33"/>
    <mergeCell ref="H33:J33"/>
    <mergeCell ref="M33:O33"/>
    <mergeCell ref="A34:C34"/>
    <mergeCell ref="H34:J34"/>
    <mergeCell ref="M34:O34"/>
    <mergeCell ref="A28:C28"/>
    <mergeCell ref="A29:C29"/>
    <mergeCell ref="A30:C30"/>
    <mergeCell ref="A31:C31"/>
    <mergeCell ref="A32:C32"/>
    <mergeCell ref="A17:C17"/>
    <mergeCell ref="A18:C18"/>
    <mergeCell ref="A19:C19"/>
    <mergeCell ref="A26:C26"/>
    <mergeCell ref="A27:C27"/>
    <mergeCell ref="O13:O14"/>
    <mergeCell ref="P13:P14"/>
    <mergeCell ref="A15:C15"/>
    <mergeCell ref="A16:C16"/>
    <mergeCell ref="C10:D10"/>
    <mergeCell ref="C11:D11"/>
    <mergeCell ref="A13:C14"/>
    <mergeCell ref="D13:D14"/>
    <mergeCell ref="E13:I13"/>
    <mergeCell ref="J13:N13"/>
    <mergeCell ref="C9:D9"/>
    <mergeCell ref="O1:P1"/>
    <mergeCell ref="O2:P2"/>
    <mergeCell ref="E4:J4"/>
    <mergeCell ref="E5:J5"/>
    <mergeCell ref="C8:D8"/>
  </mergeCells>
  <pageMargins left="0.25" right="0.25" top="0.75" bottom="0.75" header="0.3" footer="0.3"/>
  <pageSetup paperSize="9"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75</vt:i4>
      </vt:variant>
      <vt:variant>
        <vt:lpstr>Named Ranges</vt:lpstr>
      </vt:variant>
      <vt:variant>
        <vt:i4>1</vt:i4>
      </vt:variant>
    </vt:vector>
  </HeadingPairs>
  <TitlesOfParts>
    <vt:vector size="76" baseType="lpstr">
      <vt:lpstr>BAR 1 RO</vt:lpstr>
      <vt:lpstr>Table 1.2</vt:lpstr>
      <vt:lpstr>Table 1.3</vt:lpstr>
      <vt:lpstr>Table 1.4</vt:lpstr>
      <vt:lpstr>Table 1.5</vt:lpstr>
      <vt:lpstr>Table 1.6</vt:lpstr>
      <vt:lpstr>Table 2.1a</vt:lpstr>
      <vt:lpstr>Table 2.1aa</vt:lpstr>
      <vt:lpstr>Table 2.1b</vt:lpstr>
      <vt:lpstr>Table 2.1c</vt:lpstr>
      <vt:lpstr>Table 2.2a</vt:lpstr>
      <vt:lpstr>Table 2.2b</vt:lpstr>
      <vt:lpstr>Table 2.2c</vt:lpstr>
      <vt:lpstr>Table 2.2d</vt:lpstr>
      <vt:lpstr>Table 2.2e</vt:lpstr>
      <vt:lpstr>Table 2.2f</vt:lpstr>
      <vt:lpstr>Table 2.3a</vt:lpstr>
      <vt:lpstr>Table 2.3b</vt:lpstr>
      <vt:lpstr>Table 2.3c</vt:lpstr>
      <vt:lpstr>Table 2.4a</vt:lpstr>
      <vt:lpstr>Table 2.4b</vt:lpstr>
      <vt:lpstr>Table 2.4c</vt:lpstr>
      <vt:lpstr>Table 2.5a</vt:lpstr>
      <vt:lpstr>Table 2.5b</vt:lpstr>
      <vt:lpstr>Table 2.5c</vt:lpstr>
      <vt:lpstr>Table 2.6</vt:lpstr>
      <vt:lpstr>BAR 1 SDO</vt:lpstr>
      <vt:lpstr>Table 3.1a</vt:lpstr>
      <vt:lpstr>Table 3.1b</vt:lpstr>
      <vt:lpstr>Table 3.1c</vt:lpstr>
      <vt:lpstr>Table 3.1d</vt:lpstr>
      <vt:lpstr>Table 3.2</vt:lpstr>
      <vt:lpstr>Table 3.3a</vt:lpstr>
      <vt:lpstr>Table 3.3b</vt:lpstr>
      <vt:lpstr>Table 3.3c</vt:lpstr>
      <vt:lpstr>Table 3.4</vt:lpstr>
      <vt:lpstr>Table 3.5</vt:lpstr>
      <vt:lpstr>Table 4.1a</vt:lpstr>
      <vt:lpstr>Table 4.1b</vt:lpstr>
      <vt:lpstr>Table 4.2a</vt:lpstr>
      <vt:lpstr>Table 4.2b</vt:lpstr>
      <vt:lpstr>Table 4.3a</vt:lpstr>
      <vt:lpstr>Table 4.3b</vt:lpstr>
      <vt:lpstr>Table 4.3c</vt:lpstr>
      <vt:lpstr>Table 4.4a</vt:lpstr>
      <vt:lpstr>Table 4.4b</vt:lpstr>
      <vt:lpstr>Table 4.5a</vt:lpstr>
      <vt:lpstr>Table 4.5b</vt:lpstr>
      <vt:lpstr>Table 4.5c</vt:lpstr>
      <vt:lpstr>Table 5.1</vt:lpstr>
      <vt:lpstr>Table 5.1.1</vt:lpstr>
      <vt:lpstr>Table 5.1.2</vt:lpstr>
      <vt:lpstr>Table 5.1.2a</vt:lpstr>
      <vt:lpstr>Table 5.1.2b</vt:lpstr>
      <vt:lpstr>Table 5.1.2c</vt:lpstr>
      <vt:lpstr>Table 5.2</vt:lpstr>
      <vt:lpstr>Table 5.2a</vt:lpstr>
      <vt:lpstr>Table 5.2b</vt:lpstr>
      <vt:lpstr>Table 5.2c</vt:lpstr>
      <vt:lpstr>ADN</vt:lpstr>
      <vt:lpstr>ADS</vt:lpstr>
      <vt:lpstr>BAY</vt:lpstr>
      <vt:lpstr>BIS</vt:lpstr>
      <vt:lpstr>BUT</vt:lpstr>
      <vt:lpstr>CBR</vt:lpstr>
      <vt:lpstr>DIN</vt:lpstr>
      <vt:lpstr>SIA</vt:lpstr>
      <vt:lpstr>SC</vt:lpstr>
      <vt:lpstr>SDN</vt:lpstr>
      <vt:lpstr>SDS</vt:lpstr>
      <vt:lpstr>Educ Policy Devt Program</vt:lpstr>
      <vt:lpstr>Basic Ed Inputs Program</vt:lpstr>
      <vt:lpstr>Inclusive Educ Program</vt:lpstr>
      <vt:lpstr>Supp to Schools and Learners</vt:lpstr>
      <vt:lpstr>Educ Human Res Devt</vt:lpstr>
      <vt:lpstr>'BAR 1 RO'!Print_Area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Saga</dc:creator>
  <cp:lastModifiedBy>Emmanuel Saga</cp:lastModifiedBy>
  <cp:lastPrinted>2025-12-23T08:20:55Z</cp:lastPrinted>
  <dcterms:created xsi:type="dcterms:W3CDTF">2025-03-10T00:37:14Z</dcterms:created>
  <dcterms:modified xsi:type="dcterms:W3CDTF">2026-04-01T01:19:57Z</dcterms:modified>
</cp:coreProperties>
</file>